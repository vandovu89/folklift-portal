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\\Lemon.tau-jp.lan.tau.jp\b\551特殊車輌部\020 販売課\100営業係・販売係\01. 顧客関連\02. 販売関連\02. 在庫リスト\20260807\"/>
    </mc:Choice>
  </mc:AlternateContent>
  <xr:revisionPtr revIDLastSave="0" documentId="8_{ECD15712-00BA-4A34-8F1C-4D9CBD8875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NDER" sheetId="1" r:id="rId1"/>
  </sheets>
  <definedNames>
    <definedName name="_xlnm._FilterDatabase" localSheetId="0" hidden="1">TENDER!$B$5:$P$5</definedName>
    <definedName name="_xlnm.Print_Area" localSheetId="0">TENDER!$A$1:$O$328</definedName>
    <definedName name="_xlnm.Print_Titles" localSheetId="0">TENDER!$1:$5</definedName>
    <definedName name="Z_9490BEDE_FA73_4124_B4F4_1D581BAC7B7D_.wvu.FilterData" localSheetId="0">TENDER!$B$5:$N$5</definedName>
    <definedName name="Z_9490BEDE_FA73_4124_B4F4_1D581BAC7B7D_.wvu.PrintArea" localSheetId="0">TENDER!$A$1:$N$86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5" i="1" l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H4" i="1"/>
</calcChain>
</file>

<file path=xl/sharedStrings.xml><?xml version="1.0" encoding="utf-8"?>
<sst xmlns="http://schemas.openxmlformats.org/spreadsheetml/2006/main" count="780" uniqueCount="196">
  <si>
    <t>TAU FORKLIFT TENDER LIST</t>
  </si>
  <si>
    <t xml:space="preserve">OFFER PAGE: </t>
  </si>
  <si>
    <t>https://www.tau-trade.com/sal_frt/stock/machinerySearch?locale=en&amp;itemCategory=forklift</t>
  </si>
  <si>
    <t xml:space="preserve">HOW TO OFFER: </t>
  </si>
  <si>
    <t>https://www.tau-trade.com/sal_frt/static/pages/en/machineryhowtobuy.html</t>
  </si>
  <si>
    <t xml:space="preserve">OFFER DEADLINE : </t>
  </si>
  <si>
    <t>(Japanese Time)</t>
  </si>
  <si>
    <t>NO (pic.#)</t>
  </si>
  <si>
    <t>MAKER</t>
  </si>
  <si>
    <t xml:space="preserve">MODEL </t>
  </si>
  <si>
    <t>YEAR</t>
  </si>
  <si>
    <t>HOUR</t>
  </si>
  <si>
    <t>ENGINE
CONDITION</t>
  </si>
  <si>
    <t>CONDITION</t>
  </si>
  <si>
    <t>TYPE</t>
  </si>
  <si>
    <t>TYPE2</t>
  </si>
  <si>
    <t>MAST</t>
  </si>
  <si>
    <t>ATTACHMENT</t>
  </si>
  <si>
    <t>MAX VIEW</t>
  </si>
  <si>
    <t>MAX LOAD</t>
  </si>
  <si>
    <t>LOADING PORT</t>
  </si>
  <si>
    <t xml:space="preserve"> GOODS PRICE</t>
  </si>
  <si>
    <t>StockNo.</t>
  </si>
  <si>
    <t>URL</t>
  </si>
  <si>
    <t>OFFER
DEADLINE</t>
  </si>
  <si>
    <t>TOYOTA</t>
  </si>
  <si>
    <t>02-8FD20</t>
  </si>
  <si>
    <t>Start</t>
  </si>
  <si>
    <t>Engine running poorly.　Oil　Leaking/Bleeding</t>
  </si>
  <si>
    <t>DIESEL</t>
  </si>
  <si>
    <t>COUNTER</t>
  </si>
  <si>
    <t>Double</t>
  </si>
  <si>
    <t>NORMAL</t>
  </si>
  <si>
    <t>OSAKA</t>
  </si>
  <si>
    <t>https://www.tau-trade.com/sal_frt/stock/detail?stkNo=4718c98eabc4041514fe444ecc565a86&amp;locale=en&amp;fromAdmin=true</t>
  </si>
  <si>
    <t>02-8FD30</t>
  </si>
  <si>
    <t>ROTATING</t>
  </si>
  <si>
    <t>https://www.tau-trade.com/sal_frt/stock/detail?stkNo=14a4730bdf637863198aba5af8d8f482&amp;locale=en&amp;fromAdmin=true</t>
  </si>
  <si>
    <t>https://www.tau-trade.com/sal_frt/stock/detail?stkNo=4ea3de4d274ccb3644d5e0c76a0ab90d&amp;locale=en&amp;fromAdmin=true</t>
  </si>
  <si>
    <t>ROLL CLAMP</t>
  </si>
  <si>
    <t>https://www.tau-trade.com/sal_frt/stock/detail?stkNo=479b1c93fbd9790131eb46fb59a092f5&amp;locale=en&amp;fromAdmin=true</t>
  </si>
  <si>
    <t>02-8FDL15</t>
  </si>
  <si>
    <t>https://www.tau-trade.com/sal_frt/stock/detail?stkNo=064e10370f90ec68590bec2b8b761995&amp;locale=en&amp;fromAdmin=true</t>
  </si>
  <si>
    <t>52-8FDJ35</t>
  </si>
  <si>
    <t>Error code</t>
  </si>
  <si>
    <t>FULL FREE,SIDE SHIFT</t>
  </si>
  <si>
    <t>https://www.tau-trade.com/sal_frt/stock/detail?stkNo=b32b14d2edcd778ec6594208ecad9a8d&amp;locale=en&amp;fromAdmin=true</t>
  </si>
  <si>
    <t>50-8FD30</t>
  </si>
  <si>
    <t>FORK SHIFT</t>
  </si>
  <si>
    <t>https://www.tau-trade.com/sal_frt/stock/detail?stkNo=9cc477bc14e530109ae1d669b5c6ed80&amp;locale=en&amp;fromAdmin=true</t>
  </si>
  <si>
    <t>https://www.tau-trade.com/sal_frt/stock/detail?stkNo=a56f4ef6ba051c8304fa0f7de7039830&amp;locale=en&amp;fromAdmin=true</t>
  </si>
  <si>
    <t>SIDE SHIFT</t>
  </si>
  <si>
    <t>https://www.tau-trade.com/sal_frt/stock/detail?stkNo=a889b57b38a32a09962e7c38f583ecfa&amp;locale=en&amp;fromAdmin=true</t>
  </si>
  <si>
    <t>8FG25</t>
  </si>
  <si>
    <t>GASOLINE</t>
  </si>
  <si>
    <t>https://www.tau-trade.com/sal_frt/stock/detail?stkNo=0b45e7a353e6eb92ce7674d6e9cc7bc1&amp;locale=en&amp;fromAdmin=true</t>
  </si>
  <si>
    <t>02-8FGKL20</t>
  </si>
  <si>
    <t>https://www.tau-trade.com/sal_frt/stock/detail?stkNo=2270fe5fc0c40cb8b222e619ea13b516&amp;locale=en&amp;fromAdmin=true</t>
  </si>
  <si>
    <t>Rusty,Chassis number on frame:　unclear (rust, scratches, etc.)</t>
  </si>
  <si>
    <t>https://www.tau-trade.com/sal_frt/stock/detail?stkNo=f017bc3ab9c4382b97aa0b4d0cd7a624&amp;locale=en&amp;fromAdmin=true</t>
  </si>
  <si>
    <t>02-8FD25</t>
  </si>
  <si>
    <t>https://www.tau-trade.com/sal_frt/stock/detail?stkNo=c678d14b0d464bc40912899f276bbef2&amp;locale=en&amp;fromAdmin=true</t>
  </si>
  <si>
    <t>02-8FGL25</t>
  </si>
  <si>
    <t>Cargo handling:　There is an abnormal noise or rattling when operating the mast</t>
  </si>
  <si>
    <t>https://www.tau-trade.com/sal_frt/stock/detail?stkNo=6d161cdaf67e5e17a54f084ca9bc22e9&amp;locale=en&amp;fromAdmin=true</t>
  </si>
  <si>
    <t>02-8FGL15</t>
  </si>
  <si>
    <t>https://www.tau-trade.com/sal_frt/stock/detail?stkNo=8832521e34487d9149d83c5ffc7b95ba&amp;locale=en&amp;fromAdmin=true</t>
  </si>
  <si>
    <t>Brake does not lock (left).
　Gas tank removed,　Work with Gasoline</t>
  </si>
  <si>
    <t>https://www.tau-trade.com/sal_frt/stock/detail?stkNo=9d816177505b1e9e3b1a367bf2d129bb&amp;locale=en&amp;fromAdmin=true</t>
  </si>
  <si>
    <t>Gas tank removed,　Work with Gasoline,Cargo handling:　There is an abnormal noise or rattling when operating the mast</t>
  </si>
  <si>
    <t>https://www.tau-trade.com/sal_frt/stock/detail?stkNo=da83b20e3be251c3c7716b9345cedfe0&amp;locale=en&amp;fromAdmin=true</t>
  </si>
  <si>
    <t>Gas tank removed,　Work with Gasoline</t>
  </si>
  <si>
    <t>https://www.tau-trade.com/sal_frt/stock/detail?stkNo=30cc42db947151ad0d9f5c0fdc2fb7d1&amp;locale=en&amp;fromAdmin=true</t>
  </si>
  <si>
    <t>Rusty,Caution plate:　Cannot be confirmed,Chassis number on frame:　unclear (rust, scratches, etc.)</t>
  </si>
  <si>
    <t>https://www.tau-trade.com/sal_frt/stock/detail?stkNo=195f7533e2e13d2ef743de01f101fb4d&amp;locale=en&amp;fromAdmin=true</t>
  </si>
  <si>
    <t>8FBEL10</t>
  </si>
  <si>
    <t>BATTERY</t>
  </si>
  <si>
    <t>https://www.tau-trade.com/sal_frt/stock/detail?stkNo=37aafb5f07b0f5c1f6e13b1bbbc95e67&amp;locale=en&amp;fromAdmin=true</t>
  </si>
  <si>
    <t>FULL FREE,ROTATING</t>
  </si>
  <si>
    <t>https://www.tau-trade.com/sal_frt/stock/detail?stkNo=332bfa7ffc66e989e86732624ac7433d&amp;locale=en&amp;fromAdmin=true</t>
  </si>
  <si>
    <t>02-8FDL20</t>
  </si>
  <si>
    <t>https://www.tau-trade.com/sal_frt/stock/detail?stkNo=f7be6b0cfa8b7a4f7ae9f2ca61990e01&amp;locale=en&amp;fromAdmin=true</t>
  </si>
  <si>
    <t>The backrest is broken.</t>
  </si>
  <si>
    <t>https://www.tau-trade.com/sal_frt/stock/detail?stkNo=7a3769f5b28efdec3c2cc7d85fbf3255&amp;locale=en&amp;fromAdmin=true</t>
  </si>
  <si>
    <t>7FD30</t>
  </si>
  <si>
    <t>There is ratting in the control lever.
Intake duct damaged.　Oil　Leaking/Bleeding</t>
  </si>
  <si>
    <t>https://www.tau-trade.com/sal_frt/stock/detail?stkNo=7543a234382da642bd3191c95c3f6d28&amp;locale=en&amp;fromAdmin=true</t>
  </si>
  <si>
    <t>https://www.tau-trade.com/sal_frt/stock/detail?stkNo=82a9aeea60f198494495708ded50ca00&amp;locale=en&amp;fromAdmin=true</t>
  </si>
  <si>
    <t>5FD10</t>
  </si>
  <si>
    <t>https://www.tau-trade.com/sal_frt/stock/detail?stkNo=712f35cc0f04a492700da662687ce6d9&amp;locale=en&amp;fromAdmin=true</t>
  </si>
  <si>
    <t>KOMATSU</t>
  </si>
  <si>
    <t>FD25T-12</t>
  </si>
  <si>
    <t>Chassis number on frame:　cannot be confirmed</t>
  </si>
  <si>
    <t>https://www.tau-trade.com/sal_frt/stock/detail?stkNo=7df185388d042c54e75e9db3b9fafec8&amp;locale=en&amp;fromAdmin=true</t>
  </si>
  <si>
    <t>02-8FGKL25</t>
  </si>
  <si>
    <t>https://www.tau-trade.com/sal_frt/stock/detail?stkNo=29f1f8953282387a630f028c5d9194f9&amp;locale=en&amp;fromAdmin=true</t>
  </si>
  <si>
    <t>7FGL15</t>
  </si>
  <si>
    <t>Rusty,Battery:　no good</t>
  </si>
  <si>
    <t>Triple</t>
  </si>
  <si>
    <t>https://www.tau-trade.com/sal_frt/stock/detail?stkNo=21f131bfd1767d717f47d09cd9526e11&amp;locale=en&amp;fromAdmin=true</t>
  </si>
  <si>
    <t>7FBM45</t>
  </si>
  <si>
    <t>Please check the image of the stamped chassis number.</t>
  </si>
  <si>
    <t>https://www.tau-trade.com/sal_frt/stock/detail?stkNo=d218546da697d1c46cfa9e607a0828bc&amp;locale=en&amp;fromAdmin=true</t>
  </si>
  <si>
    <t>6FGL20</t>
  </si>
  <si>
    <t>Rusty,Cargo handling:　There is an abnormal noise or rattling when operating the mast</t>
  </si>
  <si>
    <t>https://www.tau-trade.com/sal_frt/stock/detail?stkNo=c4389566ba125adb77c6ee1635248cb9&amp;locale=en&amp;fromAdmin=true</t>
  </si>
  <si>
    <t>8FB25</t>
  </si>
  <si>
    <t>https://www.tau-trade.com/sal_frt/stock/detail?stkNo=9f2e6820e40853166aeeb222a87a631e&amp;locale=en&amp;fromAdmin=true</t>
  </si>
  <si>
    <t>MITSUBISHI</t>
  </si>
  <si>
    <t>FDE35NT</t>
  </si>
  <si>
    <t>UNKNOWN</t>
  </si>
  <si>
    <t>Does not start</t>
  </si>
  <si>
    <t>Rusty,Operation cannot be checked due to power failure</t>
  </si>
  <si>
    <t>https://www.tau-trade.com/sal_frt/stock/detail?stkNo=56db08e68d365da09b1333d74c71048c&amp;locale=en&amp;fromAdmin=true</t>
  </si>
  <si>
    <t>02-5FGL25</t>
  </si>
  <si>
    <t>Faulty starter motor contact.　Gas tank removed,　Work with LPG</t>
  </si>
  <si>
    <t>https://www.tau-trade.com/sal_frt/stock/detail?stkNo=3e87928a82bff64cf206869abbd911a1&amp;locale=en&amp;fromAdmin=true</t>
  </si>
  <si>
    <t>https://www.tau-trade.com/sal_frt/stock/detail?stkNo=65d3d21098ecb4d8df39fd673ae4694f&amp;locale=en&amp;fromAdmin=true</t>
  </si>
  <si>
    <t>8FBR15</t>
  </si>
  <si>
    <t>Overturned vehicle.</t>
  </si>
  <si>
    <t>REACH</t>
  </si>
  <si>
    <t>FULL FREE</t>
  </si>
  <si>
    <t>https://www.tau-trade.com/sal_frt/stock/detail?stkNo=277badc3c228bc4935de3546faeff4b1&amp;locale=en&amp;fromAdmin=true</t>
  </si>
  <si>
    <t>8FBR13</t>
  </si>
  <si>
    <t>https://www.tau-trade.com/sal_frt/stock/detail?stkNo=d6afd2063ee2027c46093b9671ec68aa&amp;locale=en&amp;fromAdmin=true</t>
  </si>
  <si>
    <t>https://www.tau-trade.com/sal_frt/stock/detail?stkNo=7f85870eaa0de2782863a50e97608185&amp;locale=en&amp;fromAdmin=true</t>
  </si>
  <si>
    <t>SIDE SHIFT,FORK SHIFT</t>
  </si>
  <si>
    <t>https://www.tau-trade.com/sal_frt/stock/detail?stkNo=29464ae7a945a95818d56875be529efa&amp;locale=en&amp;fromAdmin=true</t>
  </si>
  <si>
    <t>7FBR15</t>
  </si>
  <si>
    <t>Lift chain elongation.</t>
  </si>
  <si>
    <t>https://www.tau-trade.com/sal_frt/stock/detail?stkNo=006c3856e67cf7f589af1b4f27a95e80&amp;locale=en&amp;fromAdmin=true</t>
  </si>
  <si>
    <t>https://www.tau-trade.com/sal_frt/stock/detail?stkNo=4194c298804a4e0a7f85a5cca0cdba85&amp;locale=en&amp;fromAdmin=true</t>
  </si>
  <si>
    <t>8FB18</t>
  </si>
  <si>
    <t>Lift chain elongation</t>
  </si>
  <si>
    <t>https://www.tau-trade.com/sal_frt/stock/detail?stkNo=db20fc7fae4c5175f9b9e964e598d84e&amp;locale=en&amp;fromAdmin=true</t>
  </si>
  <si>
    <t>02-7FD30</t>
  </si>
  <si>
    <t>Rusty</t>
  </si>
  <si>
    <t>https://www.tau-trade.com/sal_frt/stock/detail?stkNo=9f13994aa29c2889eb24c539096548ad&amp;locale=en&amp;fromAdmin=true</t>
  </si>
  <si>
    <t>5FD20</t>
  </si>
  <si>
    <t>https://www.tau-trade.com/sal_frt/stock/detail?stkNo=78d92a0fb60c97d876dde3e8a5ef6157&amp;locale=en&amp;fromAdmin=true</t>
  </si>
  <si>
    <t>NICHIYU</t>
  </si>
  <si>
    <t>FBPN-50B-250</t>
  </si>
  <si>
    <t>EXTENSION FORK</t>
  </si>
  <si>
    <t>https://www.tau-trade.com/sal_frt/stock/detail?stkNo=19496db63adbb7e2e121c8356e2dd040&amp;locale=en&amp;fromAdmin=true</t>
  </si>
  <si>
    <t>Lift chain elongation.
H-hose deterioration.</t>
  </si>
  <si>
    <t>https://www.tau-trade.com/sal_frt/stock/detail?stkNo=8c161f1be31541124babdc57f6be11bc&amp;locale=en&amp;fromAdmin=true</t>
  </si>
  <si>
    <t>https://www.tau-trade.com/sal_frt/stock/detail?stkNo=9f0aba7a7359789f9e37e17ab02661fe&amp;locale=en&amp;fromAdmin=true</t>
  </si>
  <si>
    <t>https://www.tau-trade.com/sal_frt/stock/detail?stkNo=305ff83d54c11566fb151f3356fd0181&amp;locale=en&amp;fromAdmin=true</t>
  </si>
  <si>
    <t>https://www.tau-trade.com/sal_frt/stock/detail?stkNo=caa30d3438d14ade21dcce8bc2ebbc7f&amp;locale=en&amp;fromAdmin=true</t>
  </si>
  <si>
    <t>https://www.tau-trade.com/sal_frt/stock/detail?stkNo=f597bdc41aa8469d6249552b929647ab&amp;locale=en&amp;fromAdmin=true</t>
  </si>
  <si>
    <t>8FBH15</t>
  </si>
  <si>
    <t>https://www.tau-trade.com/sal_frt/stock/detail?stkNo=42b31ceebea22f5cd12b5cff01921678&amp;locale=en&amp;fromAdmin=true</t>
  </si>
  <si>
    <t>Lift chain elongation.
One fork pin.</t>
  </si>
  <si>
    <t>https://www.tau-trade.com/sal_frt/stock/detail?stkNo=de9ad05ace1e89f934897538cbc41660&amp;locale=en&amp;fromAdmin=true</t>
  </si>
  <si>
    <t>https://www.tau-trade.com/sal_frt/stock/detail?stkNo=4400def71bc2be72ec220b3c384dc9bb&amp;locale=en&amp;fromAdmin=true</t>
  </si>
  <si>
    <t>https://www.tau-trade.com/sal_frt/stock/detail?stkNo=0fa404ae5ae047e9000d94df8a4ad569&amp;locale=en&amp;fromAdmin=true</t>
  </si>
  <si>
    <t>https://www.tau-trade.com/sal_frt/stock/detail?stkNo=fb113873625c6e9a10c06436688a9321&amp;locale=en&amp;fromAdmin=true</t>
  </si>
  <si>
    <t>https://www.tau-trade.com/sal_frt/stock/detail?stkNo=54599f0d227b0455767c0a64fdc4a0f5&amp;locale=en&amp;fromAdmin=true</t>
  </si>
  <si>
    <t>https://www.tau-trade.com/sal_frt/stock/detail?stkNo=8438348b4a0e241e9581bea33cbaed5e&amp;locale=en&amp;fromAdmin=true</t>
  </si>
  <si>
    <t>https://www.tau-trade.com/sal_frt/stock/detail?stkNo=0d5e7c95791ad9d6b362e6881ed92227&amp;locale=en&amp;fromAdmin=true</t>
  </si>
  <si>
    <t>https://www.tau-trade.com/sal_frt/stock/detail?stkNo=ca195b1f28ec32f3e75acf6e8ff2c812&amp;locale=en&amp;fromAdmin=true</t>
  </si>
  <si>
    <t>https://www.tau-trade.com/sal_frt/stock/detail?stkNo=f27231bec6f683e16592bfea0422a7bd&amp;locale=en&amp;fromAdmin=true</t>
  </si>
  <si>
    <t>https://www.tau-trade.com/sal_frt/stock/detail?stkNo=deb001251183b49cacdc57dd6a272237&amp;locale=en&amp;fromAdmin=true</t>
  </si>
  <si>
    <t>8FB15</t>
  </si>
  <si>
    <t>https://www.tau-trade.com/sal_frt/stock/detail?stkNo=296cf35fd6cfc84d3056da4563e44f64&amp;locale=en&amp;fromAdmin=true</t>
  </si>
  <si>
    <t>https://www.tau-trade.com/sal_frt/stock/detail?stkNo=875287d2063326b02dc320d0d94e03ff&amp;locale=en&amp;fromAdmin=true</t>
  </si>
  <si>
    <t>https://www.tau-trade.com/sal_frt/stock/detail?stkNo=8be21d7a5b2e8c3800192bc7fc1a8541&amp;locale=en&amp;fromAdmin=true</t>
  </si>
  <si>
    <t>https://www.tau-trade.com/sal_frt/stock/detail?stkNo=6ef8a201c070631de0a95cb97d83a0de&amp;locale=en&amp;fromAdmin=true</t>
  </si>
  <si>
    <t>https://www.tau-trade.com/sal_frt/stock/detail?stkNo=88c82b872972d47291610c7937d1416a&amp;locale=en&amp;fromAdmin=true</t>
  </si>
  <si>
    <t>https://www.tau-trade.com/sal_frt/stock/detail?stkNo=fd8435044b3eed654a30cd8f75969672&amp;locale=en&amp;fromAdmin=true</t>
  </si>
  <si>
    <t>https://www.tau-trade.com/sal_frt/stock/detail?stkNo=8108bd222103a227d3cb9843d9c11c22&amp;locale=en&amp;fromAdmin=true</t>
  </si>
  <si>
    <t>https://www.tau-trade.com/sal_frt/stock/detail?stkNo=fc59a58ca3dd6b737704f6c4c0f32849&amp;locale=en&amp;fromAdmin=true</t>
  </si>
  <si>
    <t>https://www.tau-trade.com/sal_frt/stock/detail?stkNo=204720698cbd23ca98617b710fcc21ab&amp;locale=en&amp;fromAdmin=true</t>
  </si>
  <si>
    <t>https://www.tau-trade.com/sal_frt/stock/detail?stkNo=553a67d32538d144ea636cdc6a5f0ef9&amp;locale=en&amp;fromAdmin=true</t>
  </si>
  <si>
    <t>https://www.tau-trade.com/sal_frt/stock/detail?stkNo=1c3bf37da31432b1c74fdcbc1939b42c&amp;locale=en&amp;fromAdmin=true</t>
  </si>
  <si>
    <t>https://www.tau-trade.com/sal_frt/stock/detail?stkNo=ff88cd045e9c29fd54ce520de2d67bd3&amp;locale=en&amp;fromAdmin=true</t>
  </si>
  <si>
    <t>Battery defect (includes defective cells).</t>
  </si>
  <si>
    <t>https://www.tau-trade.com/sal_frt/stock/detail?stkNo=b764303bd17a3689f68589d768ba07d5&amp;locale=en&amp;fromAdmin=true</t>
  </si>
  <si>
    <t>https://www.tau-trade.com/sal_frt/stock/detail?stkNo=4067b8f1c5d8bc866bc3989ed788549e&amp;locale=en&amp;fromAdmin=true</t>
  </si>
  <si>
    <t>4CBT2</t>
  </si>
  <si>
    <t>BATTERY RAIL
Maximum traction force 2000N.　Motion:　Cannot move forward or backward</t>
  </si>
  <si>
    <t>OTHER</t>
  </si>
  <si>
    <t>***</t>
  </si>
  <si>
    <t>https://www.tau-trade.com/sal_frt/stock/detail?stkNo=7db437277a4a29f9e7113b8588d3bead&amp;locale=en&amp;fromAdmin=true</t>
  </si>
  <si>
    <t>FG15C-20</t>
  </si>
  <si>
    <t>https://www.tau-trade.com/sal_frt/stock/detail?stkNo=e0b65d845f0b70191625dd6b2b065044&amp;locale=en&amp;fromAdmin=true</t>
  </si>
  <si>
    <t>7FG15</t>
  </si>
  <si>
    <t>Side lever malfunction.
Brake fluid is low.
Lift chain elongation.
Oil pump malfunction.　Rusty,Oil　Leaking/Bleeding</t>
  </si>
  <si>
    <t>https://www.tau-trade.com/sal_frt/stock/detail?stkNo=09abb04f74f47b0527d452b7f7bb7411&amp;locale=en&amp;fromAdmin=true</t>
  </si>
  <si>
    <t>02-8FD15</t>
  </si>
  <si>
    <t>The attachment hose shows signs of deterioration.
Looseness in the water pump.</t>
  </si>
  <si>
    <t>https://www.tau-trade.com/sal_frt/stock/detail?stkNo=f5e7ee8c5a9acd100a983378ddf016a4&amp;locale=en&amp;fromAdmin=true</t>
  </si>
  <si>
    <t>TCM</t>
  </si>
  <si>
    <t>FRHB25-8</t>
  </si>
  <si>
    <t>Oil　Leaking/Bleeding</t>
  </si>
  <si>
    <t>https://www.tau-trade.com/sal_frt/stock/detail?stkNo=4a36728613b6176f139e3e49d7efe119&amp;locale=en&amp;fromAdmin=true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</si>
</sst>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&quot;mm&quot;"/>
    <numFmt numFmtId="177" formatCode="yyyy/m/d\ hh:mm"/>
    <numFmt numFmtId="178" formatCode="#,##0&quot;kg&quot;"/>
    <numFmt numFmtId="179" formatCode="[$JPY]\ #,##0_);[Red]\([$JPY]\ #,##0\)"/>
  </numFmts>
  <fonts count="15">
    <font>
      <sz val="11"/>
      <color rgb="FF000000"/>
      <name val="游ゴシック"/>
    </font>
    <font>
      <sz val="11"/>
      <color rgb="FF000000"/>
      <name val="Arial Unicode MS"/>
      <family val="3"/>
      <charset val="128"/>
    </font>
    <font>
      <b/>
      <sz val="10"/>
      <color rgb="FF000000"/>
      <name val="Arial Unicode MS"/>
      <family val="3"/>
      <charset val="128"/>
    </font>
    <font>
      <sz val="10"/>
      <color rgb="FF000000"/>
      <name val="Arial Unicode MS"/>
      <family val="3"/>
      <charset val="128"/>
    </font>
    <font>
      <b/>
      <sz val="12"/>
      <color rgb="FF000000"/>
      <name val="Arial Unicode MS"/>
      <family val="3"/>
      <charset val="128"/>
    </font>
    <font>
      <sz val="12"/>
      <color rgb="FF000000"/>
      <name val="Arial Unicode MS"/>
      <family val="3"/>
      <charset val="128"/>
    </font>
    <font>
      <sz val="9"/>
      <color rgb="FF000000"/>
      <name val="Arial Unicode MS"/>
      <family val="3"/>
      <charset val="128"/>
    </font>
    <font>
      <sz val="11"/>
      <color rgb="FF000000"/>
      <name val="ＭＳ Ｐゴシック"/>
      <family val="3"/>
      <charset val="128"/>
    </font>
    <font>
      <b/>
      <sz val="12"/>
      <color rgb="FFFF0000"/>
      <name val="Times New Roman"/>
      <family val="1"/>
    </font>
    <font>
      <u/>
      <sz val="11"/>
      <color rgb="FF0563C1"/>
      <name val="ＭＳ Ｐゴシック"/>
      <family val="3"/>
      <charset val="128"/>
    </font>
    <font>
      <b/>
      <sz val="11"/>
      <color rgb="FF000000"/>
      <name val="Arial Unicode MS"/>
      <family val="3"/>
      <charset val="128"/>
    </font>
    <font>
      <b/>
      <sz val="20"/>
      <color rgb="FF000000"/>
      <name val="Arial Unicode MS"/>
      <family val="3"/>
      <charset val="128"/>
    </font>
    <font>
      <b/>
      <u/>
      <sz val="12"/>
      <color rgb="FF000000"/>
      <name val="Arial Unicode MS"/>
      <family val="3"/>
      <charset val="128"/>
    </font>
    <font>
      <b/>
      <i/>
      <sz val="12"/>
      <color rgb="FF000000"/>
      <name val="Arial Unicode MS"/>
      <family val="3"/>
      <charset val="128"/>
    </font>
    <font>
      <sz val="6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solid">
        <fgColor rgb="FFFFFF00"/>
        <bgColor rgb="FFFFFFFF"/>
      </patternFill>
    </fill>
    <fill>
      <patternFill patternType="solid">
        <fgColor rgb="FF00B0F0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2" borderId="0" xfId="0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top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 wrapText="1" shrinkToFit="1"/>
    </xf>
    <xf numFmtId="0" fontId="3" fillId="2" borderId="0" xfId="0" applyFont="1" applyFill="1" applyAlignment="1">
      <alignment vertical="top"/>
    </xf>
    <xf numFmtId="0" fontId="4" fillId="2" borderId="2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14" fontId="5" fillId="2" borderId="0" xfId="0" applyNumberFormat="1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1" fillId="2" borderId="3" xfId="0" applyFont="1" applyFill="1" applyBorder="1" applyAlignment="1">
      <alignment horizontal="center" vertical="center" shrinkToFit="1"/>
    </xf>
    <xf numFmtId="38" fontId="1" fillId="2" borderId="3" xfId="0" applyNumberFormat="1" applyFont="1" applyFill="1" applyBorder="1" applyAlignment="1">
      <alignment horizontal="center" vertical="center" shrinkToFit="1"/>
    </xf>
    <xf numFmtId="176" fontId="1" fillId="2" borderId="3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vertical="top"/>
    </xf>
    <xf numFmtId="0" fontId="7" fillId="2" borderId="1" xfId="0" applyFont="1" applyFill="1" applyBorder="1" applyAlignment="1">
      <alignment horizontal="center" vertical="center" shrinkToFit="1"/>
    </xf>
    <xf numFmtId="0" fontId="7" fillId="2" borderId="3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vertical="top" wrapText="1"/>
    </xf>
    <xf numFmtId="0" fontId="8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9" fillId="2" borderId="4" xfId="0" applyFont="1" applyFill="1" applyBorder="1" applyAlignment="1">
      <alignment horizontal="center" vertical="center" shrinkToFit="1"/>
    </xf>
    <xf numFmtId="177" fontId="7" fillId="2" borderId="3" xfId="0" applyNumberFormat="1" applyFont="1" applyFill="1" applyBorder="1" applyAlignment="1">
      <alignment horizontal="center" vertical="center" shrinkToFit="1"/>
    </xf>
    <xf numFmtId="178" fontId="1" fillId="2" borderId="1" xfId="0" applyNumberFormat="1" applyFont="1" applyFill="1" applyBorder="1" applyAlignment="1">
      <alignment horizontal="center" vertical="center" shrinkToFit="1"/>
    </xf>
    <xf numFmtId="176" fontId="1" fillId="2" borderId="1" xfId="0" applyNumberFormat="1" applyFont="1" applyFill="1" applyBorder="1" applyAlignment="1">
      <alignment horizontal="center" vertical="center" shrinkToFit="1"/>
    </xf>
    <xf numFmtId="179" fontId="1" fillId="2" borderId="1" xfId="0" applyNumberFormat="1" applyFont="1" applyFill="1" applyBorder="1" applyAlignment="1">
      <alignment horizontal="center" vertical="center" shrinkToFit="1"/>
    </xf>
    <xf numFmtId="176" fontId="10" fillId="2" borderId="1" xfId="0" applyNumberFormat="1" applyFont="1" applyFill="1" applyBorder="1" applyAlignment="1">
      <alignment horizontal="center" vertical="center" shrinkToFi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14" fontId="12" fillId="2" borderId="0" xfId="0" applyNumberFormat="1" applyFont="1" applyFill="1" applyAlignment="1">
      <alignment horizontal="center" vertical="center"/>
    </xf>
    <xf numFmtId="22" fontId="13" fillId="4" borderId="5" xfId="0" applyNumberFormat="1" applyFont="1" applyFill="1" applyBorder="1" applyAlignment="1">
      <alignment horizontal="center" vertical="center"/>
    </xf>
    <xf numFmtId="22" fontId="13" fillId="4" borderId="6" xfId="0" applyNumberFormat="1" applyFont="1" applyFill="1" applyBorder="1" applyAlignment="1">
      <alignment horizontal="center" vertical="center"/>
    </xf>
    <xf numFmtId="0" fontId="13" fillId="4" borderId="7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left" vertical="center"/>
    </xf>
  </cellXfs>
  <cellStyles count="1">
    <cellStyle name="標準" xfId="0" builtinId="0"/>
  </cellStyles>
  <dxfs count="166">
    <dxf>
      <font>
        <sz val="10"/>
        <color rgb="FF5887C0"/>
        <name val="Calibri"/>
      </font>
      <fill>
        <patternFill patternType="none"/>
      </fill>
    </dxf>
    <dxf>
      <font>
        <sz val="10"/>
        <color rgb="FFF68654"/>
        <name val="Calibri"/>
      </font>
      <fill>
        <patternFill patternType="none"/>
      </fill>
    </dxf>
    <dxf>
      <font>
        <sz val="10"/>
        <color rgb="FFCC00FF"/>
        <name val="Calibri"/>
      </font>
      <fill>
        <patternFill patternType="none"/>
      </fill>
    </dxf>
    <dxf>
      <font>
        <b/>
        <i val="0"/>
        <sz val="10"/>
        <color rgb="FF78B832"/>
        <name val="Calibri"/>
      </font>
    </dxf>
    <dxf>
      <font>
        <b/>
        <i val="0"/>
        <sz val="10"/>
        <color rgb="FF5887C0"/>
        <name val="Calibri"/>
      </font>
    </dxf>
    <dxf>
      <font>
        <b/>
        <i val="0"/>
        <sz val="10"/>
        <color rgb="FF78B832"/>
        <name val="Calibri"/>
      </font>
    </dxf>
    <dxf>
      <font>
        <b/>
        <i val="0"/>
        <sz val="10"/>
        <color rgb="FF5887C0"/>
        <name val="Calibri"/>
      </font>
    </dxf>
    <dxf>
      <font>
        <b/>
        <i val="0"/>
        <sz val="10"/>
        <color rgb="FF78B832"/>
        <name val="Calibri"/>
      </font>
    </dxf>
    <dxf>
      <font>
        <b/>
        <i val="0"/>
        <sz val="10"/>
        <color rgb="FF5887C0"/>
        <name val="Calibri"/>
      </font>
    </dxf>
    <dxf>
      <font>
        <b/>
        <i val="0"/>
        <sz val="10"/>
        <color rgb="FF78B832"/>
        <name val="Calibri"/>
      </font>
    </dxf>
    <dxf>
      <font>
        <b/>
        <i val="0"/>
        <sz val="10"/>
        <color rgb="FF5887C0"/>
        <name val="Calibri"/>
      </font>
    </dxf>
    <dxf>
      <font>
        <b/>
        <i val="0"/>
        <sz val="10"/>
        <color rgb="FF78B832"/>
        <name val="Calibri"/>
      </font>
    </dxf>
    <dxf>
      <font>
        <b/>
        <i val="0"/>
        <sz val="10"/>
        <color rgb="FF5887C0"/>
        <name val="Calibri"/>
      </font>
    </dxf>
    <dxf>
      <font>
        <b/>
        <i val="0"/>
        <sz val="10"/>
        <color rgb="FF78B832"/>
        <name val="Calibri"/>
      </font>
    </dxf>
    <dxf>
      <font>
        <b/>
        <i val="0"/>
        <sz val="10"/>
        <color rgb="FF5887C0"/>
        <name val="Calibri"/>
      </font>
    </dxf>
    <dxf>
      <font>
        <b/>
        <i val="0"/>
        <sz val="10"/>
        <color rgb="FF78B832"/>
        <name val="Calibri"/>
      </font>
    </dxf>
    <dxf>
      <font>
        <b/>
        <i val="0"/>
        <sz val="10"/>
        <color rgb="FF5887C0"/>
        <name val="Calibri"/>
      </font>
    </dxf>
    <dxf>
      <font>
        <b/>
        <i val="0"/>
        <sz val="10"/>
        <color rgb="FF78B832"/>
        <name val="Calibri"/>
      </font>
    </dxf>
    <dxf>
      <font>
        <b/>
        <i val="0"/>
        <sz val="10"/>
        <color rgb="FF5887C0"/>
        <name val="Calibri"/>
      </font>
    </dxf>
    <dxf>
      <font>
        <b/>
        <i val="0"/>
        <sz val="10"/>
        <color rgb="FF78B832"/>
        <name val="Calibri"/>
      </font>
    </dxf>
    <dxf>
      <font>
        <b/>
        <i val="0"/>
        <sz val="10"/>
        <color rgb="FF5887C0"/>
        <name val="Calibri"/>
      </font>
    </dxf>
    <dxf>
      <font>
        <b/>
        <i val="0"/>
        <sz val="10"/>
        <color rgb="FF78B832"/>
        <name val="Calibri"/>
      </font>
    </dxf>
    <dxf>
      <font>
        <b/>
        <i val="0"/>
        <sz val="10"/>
        <color rgb="FF5887C0"/>
        <name val="Calibri"/>
      </font>
    </dxf>
    <dxf>
      <font>
        <b/>
        <i val="0"/>
        <sz val="10"/>
        <color rgb="FF78B832"/>
        <name val="Calibri"/>
      </font>
    </dxf>
    <dxf>
      <font>
        <b/>
        <i val="0"/>
        <sz val="10"/>
        <color rgb="FF5887C0"/>
        <name val="Calibri"/>
      </font>
    </dxf>
    <dxf>
      <font>
        <b/>
        <i val="0"/>
        <sz val="10"/>
        <color rgb="FF78B832"/>
        <name val="Calibri"/>
      </font>
    </dxf>
    <dxf>
      <font>
        <b/>
        <i val="0"/>
        <sz val="10"/>
        <color rgb="FF5887C0"/>
        <name val="Calibri"/>
      </font>
    </dxf>
    <dxf>
      <font>
        <b/>
        <i val="0"/>
        <sz val="10"/>
        <color rgb="FF5887C0"/>
        <name val="Calibri"/>
      </font>
    </dxf>
    <dxf>
      <font>
        <b/>
        <i val="0"/>
        <sz val="10"/>
        <color rgb="FF78B832"/>
        <name val="Calibri"/>
      </font>
    </dxf>
    <dxf>
      <font>
        <b/>
        <i val="0"/>
        <sz val="10"/>
        <color rgb="FF78B832"/>
        <name val="Calibri"/>
      </font>
    </dxf>
    <dxf>
      <font>
        <b/>
        <i val="0"/>
        <sz val="10"/>
        <color rgb="FF5887C0"/>
        <name val="Calibri"/>
      </font>
    </dxf>
    <dxf>
      <font>
        <b/>
        <i val="0"/>
        <sz val="10"/>
        <color rgb="FF78B832"/>
        <name val="Calibri"/>
      </font>
    </dxf>
    <dxf>
      <font>
        <b/>
        <i val="0"/>
        <sz val="10"/>
        <color rgb="FF5887C0"/>
        <name val="Calibri"/>
      </font>
    </dxf>
    <dxf>
      <font>
        <b/>
        <i val="0"/>
        <sz val="10"/>
        <color rgb="FF5887C0"/>
        <name val="Calibri"/>
      </font>
    </dxf>
    <dxf>
      <font>
        <b/>
        <i val="0"/>
        <sz val="10"/>
        <color rgb="FF78B832"/>
        <name val="Calibri"/>
      </font>
    </dxf>
    <dxf>
      <font>
        <b/>
        <i val="0"/>
        <sz val="10"/>
        <color rgb="FF78B832"/>
        <name val="Calibri"/>
      </font>
    </dxf>
    <dxf>
      <font>
        <b/>
        <i val="0"/>
        <sz val="10"/>
        <color rgb="FF5887C0"/>
        <name val="Calibri"/>
      </font>
    </dxf>
    <dxf>
      <font>
        <b/>
        <i val="0"/>
        <sz val="10"/>
        <color rgb="FF78B832"/>
        <name val="Calibri"/>
      </font>
    </dxf>
    <dxf>
      <font>
        <b/>
        <i val="0"/>
        <sz val="10"/>
        <color rgb="FF5887C0"/>
        <name val="Calibri"/>
      </font>
    </dxf>
    <dxf>
      <font>
        <b/>
        <i val="0"/>
        <sz val="10"/>
        <color rgb="FF78B832"/>
        <name val="Calibri"/>
      </font>
    </dxf>
    <dxf>
      <font>
        <b/>
        <i val="0"/>
        <sz val="10"/>
        <color rgb="FF5887C0"/>
        <name val="Calibri"/>
      </font>
    </dxf>
    <dxf>
      <font>
        <b/>
        <i val="0"/>
        <sz val="10"/>
        <color rgb="FF5887C0"/>
        <name val="Calibri"/>
      </font>
    </dxf>
    <dxf>
      <font>
        <b/>
        <i val="0"/>
        <sz val="10"/>
        <color rgb="FF78B832"/>
        <name val="Calibri"/>
      </font>
    </dxf>
    <dxf>
      <font>
        <b/>
        <i val="0"/>
        <sz val="10"/>
        <color rgb="FF78B832"/>
        <name val="Calibri"/>
      </font>
    </dxf>
    <dxf>
      <font>
        <b/>
        <i val="0"/>
        <sz val="10"/>
        <color rgb="FF5887C0"/>
        <name val="Calibri"/>
      </font>
    </dxf>
    <dxf>
      <font>
        <b/>
        <i val="0"/>
        <sz val="10"/>
        <color rgb="FF78B832"/>
        <name val="Calibri"/>
      </font>
    </dxf>
    <dxf>
      <font>
        <b/>
        <i val="0"/>
        <sz val="10"/>
        <color rgb="FF5887C0"/>
        <name val="Calibri"/>
      </font>
    </dxf>
    <dxf>
      <font>
        <b/>
        <i val="0"/>
        <sz val="10"/>
        <color rgb="FF5887C0"/>
        <name val="Calibri"/>
      </font>
    </dxf>
    <dxf>
      <font>
        <b/>
        <i val="0"/>
        <sz val="10"/>
        <color rgb="FF78B832"/>
        <name val="Calibri"/>
      </font>
    </dxf>
    <dxf>
      <font>
        <b/>
        <i val="0"/>
        <sz val="10"/>
        <color rgb="FF78B832"/>
        <name val="Calibri"/>
      </font>
    </dxf>
    <dxf>
      <font>
        <b/>
        <i val="0"/>
        <sz val="10"/>
        <color rgb="FF5887C0"/>
        <name val="Calibri"/>
      </font>
    </dxf>
    <dxf>
      <font>
        <b/>
        <i val="0"/>
        <sz val="10"/>
        <color rgb="FF78B832"/>
        <name val="Calibri"/>
      </font>
    </dxf>
    <dxf>
      <font>
        <b/>
        <i val="0"/>
        <sz val="10"/>
        <color rgb="FF5887C0"/>
        <name val="Calibri"/>
      </font>
    </dxf>
    <dxf>
      <font>
        <b/>
        <i val="0"/>
        <sz val="10"/>
        <color rgb="FF5887C0"/>
        <name val="Calibri"/>
      </font>
    </dxf>
    <dxf>
      <font>
        <b/>
        <i val="0"/>
        <sz val="10"/>
        <color rgb="FF78B832"/>
        <name val="Calibri"/>
      </font>
    </dxf>
    <dxf>
      <font>
        <b/>
        <i val="0"/>
        <sz val="10"/>
        <color rgb="FF78B832"/>
        <name val="Calibri"/>
      </font>
    </dxf>
    <dxf>
      <font>
        <b/>
        <i val="0"/>
        <sz val="10"/>
        <color rgb="FF5887C0"/>
        <name val="Calibri"/>
      </font>
    </dxf>
    <dxf>
      <font>
        <b/>
        <i val="0"/>
        <sz val="10"/>
        <color rgb="FF78B832"/>
        <name val="Calibri"/>
      </font>
    </dxf>
    <dxf>
      <font>
        <b/>
        <i val="0"/>
        <sz val="10"/>
        <color rgb="FF5887C0"/>
        <name val="Calibri"/>
      </font>
    </dxf>
    <dxf>
      <font>
        <b/>
        <i val="0"/>
        <sz val="10"/>
        <color rgb="FF78B832"/>
        <name val="Calibri"/>
      </font>
    </dxf>
    <dxf>
      <font>
        <b/>
        <i val="0"/>
        <sz val="10"/>
        <color rgb="FF5887C0"/>
        <name val="Calibri"/>
      </font>
    </dxf>
    <dxf>
      <font>
        <b/>
        <i val="0"/>
        <sz val="10"/>
        <color rgb="FF78B832"/>
        <name val="Calibri"/>
      </font>
    </dxf>
    <dxf>
      <font>
        <b/>
        <i val="0"/>
        <sz val="10"/>
        <color rgb="FF5887C0"/>
        <name val="Calibri"/>
      </font>
    </dxf>
    <dxf>
      <font>
        <b/>
        <i val="0"/>
        <sz val="10"/>
        <color rgb="FF78B832"/>
        <name val="Calibri"/>
      </font>
    </dxf>
    <dxf>
      <font>
        <b/>
        <i val="0"/>
        <sz val="10"/>
        <color rgb="FF5887C0"/>
        <name val="Calibri"/>
      </font>
    </dxf>
    <dxf>
      <font>
        <b/>
        <i val="0"/>
        <sz val="10"/>
        <color rgb="FF78B832"/>
        <name val="Calibri"/>
      </font>
    </dxf>
    <dxf>
      <font>
        <b/>
        <i val="0"/>
        <sz val="10"/>
        <color rgb="FF5887C0"/>
        <name val="Calibri"/>
      </font>
    </dxf>
    <dxf>
      <font>
        <b/>
        <i val="0"/>
        <sz val="10"/>
        <color rgb="FF78B832"/>
        <name val="Calibri"/>
      </font>
    </dxf>
    <dxf>
      <font>
        <b/>
        <i val="0"/>
        <sz val="10"/>
        <color rgb="FF5887C0"/>
        <name val="Calibri"/>
      </font>
    </dxf>
    <dxf>
      <font>
        <b/>
        <i val="0"/>
        <sz val="10"/>
        <color rgb="FF78B832"/>
        <name val="Calibri"/>
      </font>
    </dxf>
    <dxf>
      <font>
        <b/>
        <i val="0"/>
        <sz val="10"/>
        <color rgb="FF5887C0"/>
        <name val="Calibri"/>
      </font>
    </dxf>
    <dxf>
      <font>
        <b/>
        <i val="0"/>
        <sz val="10"/>
        <color rgb="FF5887C0"/>
        <name val="Calibri"/>
      </font>
    </dxf>
    <dxf>
      <font>
        <b/>
        <i val="0"/>
        <sz val="10"/>
        <color rgb="FF78B832"/>
        <name val="Calibri"/>
      </font>
    </dxf>
    <dxf>
      <font>
        <b/>
        <i val="0"/>
        <sz val="10"/>
        <color rgb="FF78B832"/>
        <name val="Calibri"/>
      </font>
    </dxf>
    <dxf>
      <font>
        <b/>
        <i val="0"/>
        <sz val="10"/>
        <color rgb="FF5887C0"/>
        <name val="Calibri"/>
      </font>
    </dxf>
    <dxf>
      <font>
        <b/>
        <i val="0"/>
        <sz val="10"/>
        <color rgb="FF78B832"/>
        <name val="Calibri"/>
      </font>
    </dxf>
    <dxf>
      <font>
        <b/>
        <i val="0"/>
        <sz val="10"/>
        <color rgb="FF5887C0"/>
        <name val="Calibri"/>
      </font>
    </dxf>
    <dxf>
      <font>
        <b/>
        <i val="0"/>
        <sz val="10"/>
        <color rgb="FF5887C0"/>
        <name val="Calibri"/>
      </font>
    </dxf>
    <dxf>
      <font>
        <b/>
        <i val="0"/>
        <sz val="10"/>
        <color rgb="FF78B832"/>
        <name val="Calibri"/>
      </font>
    </dxf>
    <dxf>
      <font>
        <b/>
        <i val="0"/>
        <sz val="10"/>
        <color rgb="FF78B832"/>
        <name val="Calibri"/>
      </font>
    </dxf>
    <dxf>
      <font>
        <b/>
        <i val="0"/>
        <sz val="10"/>
        <color rgb="FF5887C0"/>
        <name val="Calibri"/>
      </font>
    </dxf>
    <dxf>
      <font>
        <b/>
        <i val="0"/>
        <sz val="10"/>
        <color rgb="FF5887C0"/>
        <name val="Calibri"/>
      </font>
    </dxf>
    <dxf>
      <font>
        <b/>
        <i val="0"/>
        <sz val="10"/>
        <color rgb="FF78B832"/>
        <name val="Calibri"/>
      </font>
    </dxf>
    <dxf>
      <font>
        <b/>
        <i val="0"/>
        <sz val="10"/>
        <color rgb="FF78B832"/>
        <name val="Calibri"/>
      </font>
    </dxf>
    <dxf>
      <font>
        <b/>
        <i val="0"/>
        <sz val="10"/>
        <color rgb="FF5887C0"/>
        <name val="Calibri"/>
      </font>
    </dxf>
    <dxf>
      <font>
        <b/>
        <i val="0"/>
        <sz val="10"/>
        <color rgb="FF78B832"/>
        <name val="Calibri"/>
      </font>
    </dxf>
    <dxf>
      <font>
        <b/>
        <i val="0"/>
        <sz val="10"/>
        <color rgb="FF5887C0"/>
        <name val="Calibri"/>
      </font>
    </dxf>
    <dxf>
      <font>
        <b/>
        <i val="0"/>
        <sz val="10"/>
        <color rgb="FF5887C0"/>
        <name val="Calibri"/>
      </font>
    </dxf>
    <dxf>
      <font>
        <b/>
        <i val="0"/>
        <sz val="10"/>
        <color rgb="FF78B832"/>
        <name val="Calibri"/>
      </font>
    </dxf>
    <dxf>
      <font>
        <b/>
        <i val="0"/>
        <sz val="10"/>
        <color rgb="FF78B832"/>
        <name val="Calibri"/>
      </font>
    </dxf>
    <dxf>
      <font>
        <b/>
        <i val="0"/>
        <sz val="10"/>
        <color rgb="FF5887C0"/>
        <name val="Calibri"/>
      </font>
    </dxf>
    <dxf>
      <font>
        <b/>
        <i val="0"/>
        <sz val="10"/>
        <color rgb="FF78B832"/>
        <name val="Calibri"/>
      </font>
    </dxf>
    <dxf>
      <font>
        <b/>
        <i val="0"/>
        <sz val="10"/>
        <color rgb="FF5887C0"/>
        <name val="Calibri"/>
      </font>
    </dxf>
    <dxf>
      <font>
        <b/>
        <i val="0"/>
        <sz val="10"/>
        <color rgb="FF5887C0"/>
        <name val="Calibri"/>
      </font>
    </dxf>
    <dxf>
      <font>
        <b/>
        <i val="0"/>
        <sz val="10"/>
        <color rgb="FF78B832"/>
        <name val="Calibri"/>
      </font>
    </dxf>
    <dxf>
      <font>
        <b/>
        <i val="0"/>
        <sz val="10"/>
        <color rgb="FF78B832"/>
        <name val="Calibri"/>
      </font>
    </dxf>
    <dxf>
      <font>
        <b/>
        <i val="0"/>
        <sz val="10"/>
        <color rgb="FF5887C0"/>
        <name val="Calibri"/>
      </font>
    </dxf>
    <dxf>
      <font>
        <b/>
        <i val="0"/>
        <sz val="10"/>
        <color rgb="FF78B832"/>
        <name val="Calibri"/>
      </font>
    </dxf>
    <dxf>
      <font>
        <b/>
        <i val="0"/>
        <sz val="10"/>
        <color rgb="FF5887C0"/>
        <name val="Calibri"/>
      </font>
    </dxf>
    <dxf>
      <font>
        <b/>
        <i val="0"/>
        <sz val="10"/>
        <color rgb="FF78B832"/>
        <name val="Calibri"/>
      </font>
    </dxf>
    <dxf>
      <font>
        <b/>
        <i val="0"/>
        <sz val="10"/>
        <color rgb="FF5887C0"/>
        <name val="Calibri"/>
      </font>
    </dxf>
    <dxf>
      <font>
        <b/>
        <i val="0"/>
        <sz val="10"/>
        <color rgb="FF78B832"/>
        <name val="Calibri"/>
      </font>
    </dxf>
    <dxf>
      <font>
        <b/>
        <i val="0"/>
        <sz val="10"/>
        <color rgb="FF5887C0"/>
        <name val="Calibri"/>
      </font>
    </dxf>
    <dxf>
      <font>
        <b/>
        <i val="0"/>
        <sz val="10"/>
        <color rgb="FF78B832"/>
        <name val="Calibri"/>
      </font>
    </dxf>
    <dxf>
      <font>
        <b/>
        <i val="0"/>
        <sz val="10"/>
        <color rgb="FF5887C0"/>
        <name val="Calibri"/>
      </font>
    </dxf>
    <dxf>
      <font>
        <b/>
        <i val="0"/>
        <sz val="10"/>
        <color rgb="FF78B832"/>
        <name val="Calibri"/>
      </font>
    </dxf>
    <dxf>
      <font>
        <b/>
        <i val="0"/>
        <sz val="10"/>
        <color rgb="FF5887C0"/>
        <name val="Calibri"/>
      </font>
    </dxf>
    <dxf>
      <font>
        <b/>
        <i val="0"/>
        <sz val="10"/>
        <color rgb="FF78B832"/>
        <name val="Calibri"/>
      </font>
    </dxf>
    <dxf>
      <font>
        <b/>
        <i val="0"/>
        <sz val="10"/>
        <color rgb="FF5887C0"/>
        <name val="Calibri"/>
      </font>
    </dxf>
    <dxf>
      <font>
        <b/>
        <i val="0"/>
        <sz val="10"/>
        <color rgb="FF78B832"/>
        <name val="Calibri"/>
      </font>
    </dxf>
    <dxf>
      <font>
        <b/>
        <i val="0"/>
        <sz val="10"/>
        <color rgb="FF5887C0"/>
        <name val="Calibri"/>
      </font>
    </dxf>
    <dxf>
      <font>
        <b/>
        <i val="0"/>
        <sz val="10"/>
        <color rgb="FF78B832"/>
        <name val="Calibri"/>
      </font>
    </dxf>
    <dxf>
      <font>
        <b/>
        <i val="0"/>
        <sz val="10"/>
        <color rgb="FF5887C0"/>
        <name val="Calibri"/>
      </font>
    </dxf>
    <dxf>
      <font>
        <b/>
        <i val="0"/>
        <sz val="10"/>
        <color rgb="FF5887C0"/>
        <name val="Calibri"/>
      </font>
    </dxf>
    <dxf>
      <font>
        <b/>
        <i val="0"/>
        <sz val="10"/>
        <color rgb="FF78B832"/>
        <name val="Calibri"/>
      </font>
    </dxf>
    <dxf>
      <font>
        <b/>
        <i val="0"/>
        <sz val="10"/>
        <color rgb="FF78B832"/>
        <name val="Calibri"/>
      </font>
    </dxf>
    <dxf>
      <font>
        <b/>
        <i val="0"/>
        <sz val="10"/>
        <color rgb="FF5887C0"/>
        <name val="Calibri"/>
      </font>
    </dxf>
    <dxf>
      <font>
        <b/>
        <i val="0"/>
        <sz val="10"/>
        <color rgb="FF78B832"/>
        <name val="Calibri"/>
      </font>
    </dxf>
    <dxf>
      <font>
        <b/>
        <i val="0"/>
        <sz val="10"/>
        <color rgb="FF5887C0"/>
        <name val="Calibri"/>
      </font>
    </dxf>
    <dxf>
      <font>
        <b/>
        <i val="0"/>
        <sz val="10"/>
        <color rgb="FF5887C0"/>
        <name val="Calibri"/>
      </font>
    </dxf>
    <dxf>
      <font>
        <b/>
        <i val="0"/>
        <sz val="10"/>
        <color rgb="FF78B832"/>
        <name val="Calibri"/>
      </font>
    </dxf>
    <dxf>
      <font>
        <b/>
        <i val="0"/>
        <sz val="10"/>
        <color rgb="FF78B832"/>
        <name val="Calibri"/>
      </font>
    </dxf>
    <dxf>
      <font>
        <b/>
        <i val="0"/>
        <sz val="10"/>
        <color rgb="FF5887C0"/>
        <name val="Calibri"/>
      </font>
    </dxf>
    <dxf>
      <font>
        <b/>
        <i val="0"/>
        <sz val="10"/>
        <color rgb="FF78B832"/>
        <name val="Calibri"/>
      </font>
    </dxf>
    <dxf>
      <font>
        <b/>
        <i val="0"/>
        <sz val="10"/>
        <color rgb="FF5887C0"/>
        <name val="Calibri"/>
      </font>
    </dxf>
    <dxf>
      <font>
        <b/>
        <i val="0"/>
        <sz val="10"/>
        <color rgb="FF5887C0"/>
        <name val="Calibri"/>
      </font>
    </dxf>
    <dxf>
      <font>
        <b/>
        <i val="0"/>
        <sz val="10"/>
        <color rgb="FF78B832"/>
        <name val="Calibri"/>
      </font>
    </dxf>
    <dxf>
      <font>
        <b/>
        <i val="0"/>
        <sz val="10"/>
        <color rgb="FF78B832"/>
        <name val="Calibri"/>
      </font>
    </dxf>
    <dxf>
      <font>
        <b/>
        <i val="0"/>
        <sz val="10"/>
        <color rgb="FF5887C0"/>
        <name val="Calibri"/>
      </font>
    </dxf>
    <dxf>
      <font>
        <b/>
        <i val="0"/>
        <sz val="10"/>
        <color rgb="FF78B832"/>
        <name val="Calibri"/>
      </font>
    </dxf>
    <dxf>
      <font>
        <b/>
        <i val="0"/>
        <sz val="10"/>
        <color rgb="FF5887C0"/>
        <name val="Calibri"/>
      </font>
    </dxf>
    <dxf>
      <font>
        <b/>
        <i val="0"/>
        <sz val="10"/>
        <color rgb="FF5887C0"/>
        <name val="Calibri"/>
      </font>
    </dxf>
    <dxf>
      <font>
        <b/>
        <i val="0"/>
        <sz val="10"/>
        <color rgb="FF78B832"/>
        <name val="Calibri"/>
      </font>
    </dxf>
    <dxf>
      <font>
        <b/>
        <i val="0"/>
        <sz val="10"/>
        <color rgb="FF78B832"/>
        <name val="Calibri"/>
      </font>
    </dxf>
    <dxf>
      <font>
        <b/>
        <i val="0"/>
        <sz val="10"/>
        <color rgb="FF5887C0"/>
        <name val="Calibri"/>
      </font>
    </dxf>
    <dxf>
      <font>
        <b/>
        <i val="0"/>
        <sz val="10"/>
        <color rgb="FF78B832"/>
        <name val="Calibri"/>
      </font>
    </dxf>
    <dxf>
      <font>
        <b/>
        <i val="0"/>
        <sz val="10"/>
        <color rgb="FF5887C0"/>
        <name val="Calibri"/>
      </font>
    </dxf>
    <dxf>
      <font>
        <b/>
        <i val="0"/>
        <sz val="10"/>
        <color rgb="FF5887C0"/>
        <name val="Calibri"/>
      </font>
    </dxf>
    <dxf>
      <font>
        <b/>
        <i val="0"/>
        <sz val="10"/>
        <color rgb="FF78B832"/>
        <name val="Calibri"/>
      </font>
    </dxf>
    <dxf>
      <font>
        <b/>
        <i val="0"/>
        <sz val="10"/>
        <color rgb="FF78B832"/>
        <name val="Calibri"/>
      </font>
    </dxf>
    <dxf>
      <font>
        <b/>
        <i val="0"/>
        <sz val="10"/>
        <color rgb="FF5887C0"/>
        <name val="Calibri"/>
      </font>
    </dxf>
    <dxf>
      <font>
        <b/>
        <i val="0"/>
        <sz val="10"/>
        <color rgb="FF78B832"/>
        <name val="Calibri"/>
      </font>
    </dxf>
    <dxf>
      <font>
        <b/>
        <i val="0"/>
        <sz val="10"/>
        <color rgb="FF5887C0"/>
        <name val="Calibri"/>
      </font>
    </dxf>
    <dxf>
      <font>
        <b/>
        <i val="0"/>
        <sz val="10"/>
        <color rgb="FF78B832"/>
        <name val="Calibri"/>
      </font>
    </dxf>
    <dxf>
      <font>
        <b/>
        <i val="0"/>
        <sz val="10"/>
        <color rgb="FF5887C0"/>
        <name val="Calibri"/>
      </font>
    </dxf>
    <dxf>
      <font>
        <b/>
        <i val="0"/>
        <sz val="10"/>
        <color rgb="FF78B832"/>
        <name val="Calibri"/>
      </font>
    </dxf>
    <dxf>
      <font>
        <b/>
        <i val="0"/>
        <sz val="10"/>
        <color rgb="FF5887C0"/>
        <name val="Calibri"/>
      </font>
    </dxf>
    <dxf>
      <font>
        <b/>
        <i val="0"/>
        <sz val="10"/>
        <color rgb="FF78B832"/>
        <name val="Calibri"/>
      </font>
    </dxf>
    <dxf>
      <font>
        <b/>
        <i val="0"/>
        <sz val="10"/>
        <color rgb="FF5887C0"/>
        <name val="Calibri"/>
      </font>
    </dxf>
    <dxf>
      <font>
        <b/>
        <i val="0"/>
        <sz val="10"/>
        <color rgb="FF78B832"/>
        <name val="Calibri"/>
      </font>
    </dxf>
    <dxf>
      <font>
        <b/>
        <i val="0"/>
        <sz val="10"/>
        <color rgb="FF5887C0"/>
        <name val="Calibri"/>
      </font>
    </dxf>
    <dxf>
      <font>
        <b/>
        <i val="0"/>
        <sz val="10"/>
        <color rgb="FF78B832"/>
        <name val="Calibri"/>
      </font>
    </dxf>
    <dxf>
      <font>
        <b/>
        <i val="0"/>
        <sz val="10"/>
        <color rgb="FF5887C0"/>
        <name val="Calibri"/>
      </font>
    </dxf>
    <dxf>
      <font>
        <b/>
        <i val="0"/>
        <sz val="10"/>
        <color rgb="FF5887C0"/>
        <name val="Calibri"/>
      </font>
    </dxf>
    <dxf>
      <font>
        <b/>
        <i val="0"/>
        <sz val="10"/>
        <color rgb="FF78B832"/>
        <name val="Calibri"/>
      </font>
    </dxf>
    <dxf>
      <font>
        <b/>
        <i val="0"/>
        <sz val="10"/>
        <color rgb="FF78B832"/>
        <name val="Calibri"/>
      </font>
    </dxf>
    <dxf>
      <font>
        <b/>
        <i val="0"/>
        <sz val="10"/>
        <color rgb="FF5887C0"/>
        <name val="Calibri"/>
      </font>
    </dxf>
    <dxf>
      <font>
        <b/>
        <i val="0"/>
        <sz val="10"/>
        <color rgb="FF78B832"/>
        <name val="Calibri"/>
      </font>
    </dxf>
    <dxf>
      <font>
        <b/>
        <i val="0"/>
        <sz val="10"/>
        <color rgb="FF5887C0"/>
        <name val="Calibri"/>
      </font>
    </dxf>
    <dxf>
      <font>
        <b/>
        <i val="0"/>
        <sz val="10"/>
        <color rgb="FF5887C0"/>
        <name val="Calibri"/>
      </font>
    </dxf>
    <dxf>
      <font>
        <b/>
        <i val="0"/>
        <sz val="10"/>
        <color rgb="FF78B832"/>
        <name val="Calibri"/>
      </font>
    </dxf>
    <dxf>
      <font>
        <b/>
        <i val="0"/>
        <sz val="10"/>
        <color rgb="FF78B832"/>
        <name val="Calibri"/>
      </font>
    </dxf>
    <dxf>
      <font>
        <b/>
        <i val="0"/>
        <sz val="10"/>
        <color rgb="FF5887C0"/>
        <name val="Calibri"/>
      </font>
    </dxf>
    <dxf>
      <font>
        <b/>
        <i val="0"/>
        <sz val="10"/>
        <color rgb="FF78B832"/>
        <name val="Calibri"/>
      </font>
    </dxf>
    <dxf>
      <font>
        <b/>
        <i val="0"/>
        <sz val="10"/>
        <color rgb="FF5887C0"/>
        <name val="Calibri"/>
      </font>
    </dxf>
    <dxf>
      <font>
        <u val="none"/>
        <sz val="10"/>
        <color rgb="FF000000"/>
        <name val="Calibri"/>
      </font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au-trade.com/sal_frt/stock/search?itemCategory=forklif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"/>
  <sheetViews>
    <sheetView showGridLines="0" tabSelected="1" workbookViewId="0">
      <selection activeCell="B1" sqref="B1:P1"/>
    </sheetView>
  </sheetViews>
  <sheetFormatPr defaultColWidth="9.625" defaultRowHeight="15" customHeight="1"/>
  <cols>
    <col min="1" max="1" width="0.875" style="1" customWidth="1"/>
    <col min="2" max="2" width="9.625" style="3"/>
    <col min="3" max="3" width="10.375" style="3" customWidth="1"/>
    <col min="4" max="4" width="21.5" style="3" customWidth="1"/>
    <col min="5" max="5" width="7.125" style="3" customWidth="1"/>
    <col min="6" max="6" width="7.125" style="1" customWidth="1"/>
    <col min="7" max="7" width="16.375" style="1" customWidth="1"/>
    <col min="8" max="8" width="35.125" style="3" customWidth="1"/>
    <col min="9" max="10" width="7.125" style="1" customWidth="1"/>
    <col min="11" max="11" width="11.5" style="1" customWidth="1"/>
    <col min="12" max="12" width="15.625" style="1" customWidth="1"/>
    <col min="13" max="13" width="8.625" style="1" customWidth="1"/>
    <col min="14" max="14" width="8.375" style="1" customWidth="1"/>
    <col min="15" max="15" width="14.125" style="3" customWidth="1"/>
    <col min="16" max="16" width="12.625" style="1" customWidth="1"/>
    <col min="17" max="17" width="1.25" style="1" hidden="1" customWidth="1"/>
    <col min="18" max="20" width="8.75" style="1" hidden="1" customWidth="1"/>
    <col min="21" max="21" width="9.625" style="1"/>
  </cols>
  <sheetData>
    <row r="1" spans="1:24" s="11" customFormat="1" ht="35.25" customHeight="1">
      <c r="A1" s="1"/>
      <c r="B1" s="31" t="s">
        <v>0</v>
      </c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20"/>
    </row>
    <row r="2" spans="1:24" s="9" customFormat="1" ht="20.100000000000001" customHeight="1">
      <c r="A2" s="3"/>
      <c r="B2" s="3"/>
      <c r="C2" s="3"/>
      <c r="D2" s="3"/>
      <c r="E2" s="30" t="s">
        <v>1</v>
      </c>
      <c r="F2" s="29"/>
      <c r="G2" s="32" t="s">
        <v>2</v>
      </c>
      <c r="H2" s="32"/>
      <c r="I2" s="32"/>
      <c r="J2" s="32"/>
      <c r="K2" s="32"/>
      <c r="L2" s="12"/>
      <c r="M2" s="12"/>
      <c r="N2" s="12"/>
    </row>
    <row r="3" spans="1:24" s="9" customFormat="1" ht="20.100000000000001" customHeight="1">
      <c r="A3" s="3"/>
      <c r="B3" s="3"/>
      <c r="E3" s="28" t="s">
        <v>3</v>
      </c>
      <c r="F3" s="28"/>
      <c r="G3" s="38" t="s">
        <v>4</v>
      </c>
      <c r="H3" s="38"/>
      <c r="I3" s="38"/>
      <c r="J3" s="38"/>
      <c r="K3" s="38"/>
      <c r="L3" s="21"/>
      <c r="M3" s="21"/>
      <c r="N3" s="21"/>
    </row>
    <row r="4" spans="1:24" s="9" customFormat="1" ht="24.95" customHeight="1">
      <c r="B4" s="8"/>
      <c r="C4" s="8"/>
      <c r="D4" s="8"/>
      <c r="E4" s="36" t="s">
        <v>5</v>
      </c>
      <c r="F4" s="37"/>
      <c r="G4" s="37"/>
      <c r="H4" s="34">
        <f>T6</f>
        <v>46252.708333333001</v>
      </c>
      <c r="I4" s="34"/>
      <c r="J4" s="34"/>
      <c r="K4" s="34" t="s">
        <v>6</v>
      </c>
      <c r="L4" s="34"/>
      <c r="M4" s="35"/>
      <c r="O4" s="33">
        <v>46241.786493056003</v>
      </c>
      <c r="P4" s="33"/>
      <c r="X4" s="10"/>
    </row>
    <row r="5" spans="1:24" s="7" customFormat="1" ht="30" customHeight="1">
      <c r="B5" s="4" t="s">
        <v>7</v>
      </c>
      <c r="C5" s="5" t="s">
        <v>8</v>
      </c>
      <c r="D5" s="5" t="s">
        <v>9</v>
      </c>
      <c r="E5" s="5" t="s">
        <v>10</v>
      </c>
      <c r="F5" s="5" t="s">
        <v>11</v>
      </c>
      <c r="G5" s="4" t="s">
        <v>12</v>
      </c>
      <c r="H5" s="5" t="s">
        <v>13</v>
      </c>
      <c r="I5" s="5" t="s">
        <v>14</v>
      </c>
      <c r="J5" s="5" t="s">
        <v>15</v>
      </c>
      <c r="K5" s="5" t="s">
        <v>16</v>
      </c>
      <c r="L5" s="5" t="s">
        <v>17</v>
      </c>
      <c r="M5" s="6" t="s">
        <v>18</v>
      </c>
      <c r="N5" s="6" t="s">
        <v>19</v>
      </c>
      <c r="O5" s="6" t="s">
        <v>20</v>
      </c>
      <c r="P5" s="6" t="s">
        <v>21</v>
      </c>
      <c r="R5" s="16" t="s">
        <v>22</v>
      </c>
      <c r="S5" s="16" t="s">
        <v>23</v>
      </c>
      <c r="T5" s="19" t="s">
        <v>24</v>
      </c>
    </row>
    <row r="6" spans="1:24" s="2" customFormat="1" ht="24.75" customHeight="1">
      <c r="B6" s="22">
        <f t="shared" ref="B6:B37" si="0">HYPERLINK(S6,R6)</f>
        <v>1409127</v>
      </c>
      <c r="C6" s="13" t="s">
        <v>25</v>
      </c>
      <c r="D6" s="13" t="s">
        <v>26</v>
      </c>
      <c r="E6" s="13">
        <v>2021</v>
      </c>
      <c r="F6" s="14">
        <v>7740</v>
      </c>
      <c r="G6" s="13" t="s">
        <v>27</v>
      </c>
      <c r="H6" s="13" t="s">
        <v>28</v>
      </c>
      <c r="I6" s="13" t="s">
        <v>29</v>
      </c>
      <c r="J6" s="13" t="s">
        <v>30</v>
      </c>
      <c r="K6" s="13" t="s">
        <v>31</v>
      </c>
      <c r="L6" s="15" t="s">
        <v>32</v>
      </c>
      <c r="M6" s="25">
        <v>3000</v>
      </c>
      <c r="N6" s="24">
        <v>2000</v>
      </c>
      <c r="O6" s="27" t="s">
        <v>33</v>
      </c>
      <c r="P6" s="26">
        <v>1170000</v>
      </c>
      <c r="R6" s="17">
        <v>1409127</v>
      </c>
      <c r="S6" s="18" t="s">
        <v>34</v>
      </c>
      <c r="T6" s="23">
        <v>46252.708333333001</v>
      </c>
    </row>
    <row r="7" spans="1:24" ht="24.75" customHeight="1">
      <c r="A7" s="2"/>
      <c r="B7" s="22">
        <f t="shared" si="0"/>
        <v>1409128</v>
      </c>
      <c r="C7" s="13" t="s">
        <v>25</v>
      </c>
      <c r="D7" s="13" t="s">
        <v>35</v>
      </c>
      <c r="E7" s="13">
        <v>2021</v>
      </c>
      <c r="F7" s="14">
        <v>5304</v>
      </c>
      <c r="G7" s="13" t="s">
        <v>27</v>
      </c>
      <c r="H7" s="13"/>
      <c r="I7" s="13" t="s">
        <v>29</v>
      </c>
      <c r="J7" s="13" t="s">
        <v>30</v>
      </c>
      <c r="K7" s="13" t="s">
        <v>31</v>
      </c>
      <c r="L7" s="15" t="s">
        <v>36</v>
      </c>
      <c r="M7" s="25">
        <v>3000</v>
      </c>
      <c r="N7" s="24">
        <v>2600</v>
      </c>
      <c r="O7" s="27" t="s">
        <v>33</v>
      </c>
      <c r="P7" s="26">
        <v>1385000</v>
      </c>
      <c r="Q7" s="2"/>
      <c r="R7" s="17">
        <v>1409128</v>
      </c>
      <c r="S7" s="18" t="s">
        <v>37</v>
      </c>
      <c r="T7" s="23">
        <v>46252.708333333001</v>
      </c>
      <c r="U7" s="2"/>
      <c r="V7" s="2"/>
      <c r="W7" s="2"/>
      <c r="X7" s="2"/>
    </row>
    <row r="8" spans="1:24" ht="24.75" customHeight="1">
      <c r="A8" s="2"/>
      <c r="B8" s="22">
        <f t="shared" si="0"/>
        <v>1409129</v>
      </c>
      <c r="C8" s="13" t="s">
        <v>25</v>
      </c>
      <c r="D8" s="13" t="s">
        <v>26</v>
      </c>
      <c r="E8" s="13">
        <v>2021</v>
      </c>
      <c r="F8" s="14">
        <v>7064</v>
      </c>
      <c r="G8" s="13" t="s">
        <v>27</v>
      </c>
      <c r="H8" s="13"/>
      <c r="I8" s="13" t="s">
        <v>29</v>
      </c>
      <c r="J8" s="13" t="s">
        <v>30</v>
      </c>
      <c r="K8" s="13" t="s">
        <v>31</v>
      </c>
      <c r="L8" s="15" t="s">
        <v>32</v>
      </c>
      <c r="M8" s="25">
        <v>3000</v>
      </c>
      <c r="N8" s="24">
        <v>2000</v>
      </c>
      <c r="O8" s="27" t="s">
        <v>33</v>
      </c>
      <c r="P8" s="26">
        <v>1170000</v>
      </c>
      <c r="Q8" s="2"/>
      <c r="R8" s="17">
        <v>1409129</v>
      </c>
      <c r="S8" s="18" t="s">
        <v>38</v>
      </c>
      <c r="T8" s="23">
        <v>46252.708333333001</v>
      </c>
      <c r="U8" s="2"/>
      <c r="V8" s="2"/>
      <c r="W8" s="2"/>
      <c r="X8" s="2"/>
    </row>
    <row r="9" spans="1:24" ht="24.75" customHeight="1">
      <c r="A9" s="2"/>
      <c r="B9" s="22">
        <f t="shared" si="0"/>
        <v>1409130</v>
      </c>
      <c r="C9" s="13" t="s">
        <v>25</v>
      </c>
      <c r="D9" s="13" t="s">
        <v>35</v>
      </c>
      <c r="E9" s="13">
        <v>2018</v>
      </c>
      <c r="F9" s="14">
        <v>5237</v>
      </c>
      <c r="G9" s="13" t="s">
        <v>27</v>
      </c>
      <c r="H9" s="13"/>
      <c r="I9" s="13" t="s">
        <v>29</v>
      </c>
      <c r="J9" s="13" t="s">
        <v>30</v>
      </c>
      <c r="K9" s="13" t="s">
        <v>31</v>
      </c>
      <c r="L9" s="15" t="s">
        <v>39</v>
      </c>
      <c r="M9" s="25">
        <v>4500</v>
      </c>
      <c r="N9" s="24">
        <v>1800</v>
      </c>
      <c r="O9" s="27" t="s">
        <v>33</v>
      </c>
      <c r="P9" s="26">
        <v>1500000</v>
      </c>
      <c r="Q9" s="2"/>
      <c r="R9" s="17">
        <v>1409130</v>
      </c>
      <c r="S9" s="18" t="s">
        <v>40</v>
      </c>
      <c r="T9" s="23">
        <v>46252.708333333001</v>
      </c>
      <c r="U9" s="2"/>
      <c r="V9" s="2"/>
      <c r="W9" s="2"/>
      <c r="X9" s="2"/>
    </row>
    <row r="10" spans="1:24" ht="24.75" customHeight="1">
      <c r="A10" s="2"/>
      <c r="B10" s="22">
        <f t="shared" si="0"/>
        <v>1409131</v>
      </c>
      <c r="C10" s="13" t="s">
        <v>25</v>
      </c>
      <c r="D10" s="13" t="s">
        <v>41</v>
      </c>
      <c r="E10" s="13">
        <v>2020</v>
      </c>
      <c r="F10" s="14">
        <v>5649</v>
      </c>
      <c r="G10" s="13" t="s">
        <v>27</v>
      </c>
      <c r="H10" s="13"/>
      <c r="I10" s="13" t="s">
        <v>29</v>
      </c>
      <c r="J10" s="13" t="s">
        <v>30</v>
      </c>
      <c r="K10" s="13" t="s">
        <v>31</v>
      </c>
      <c r="L10" s="15" t="s">
        <v>32</v>
      </c>
      <c r="M10" s="25">
        <v>3000</v>
      </c>
      <c r="N10" s="24">
        <v>1500</v>
      </c>
      <c r="O10" s="27" t="s">
        <v>33</v>
      </c>
      <c r="P10" s="26">
        <v>900000</v>
      </c>
      <c r="Q10" s="2"/>
      <c r="R10" s="17">
        <v>1409131</v>
      </c>
      <c r="S10" s="18" t="s">
        <v>42</v>
      </c>
      <c r="T10" s="23">
        <v>46252.708333333001</v>
      </c>
      <c r="U10" s="2"/>
      <c r="V10" s="2"/>
      <c r="W10" s="2"/>
      <c r="X10" s="2"/>
    </row>
    <row r="11" spans="1:24" ht="24.75" customHeight="1">
      <c r="A11" s="2"/>
      <c r="B11" s="22">
        <f t="shared" si="0"/>
        <v>1409132</v>
      </c>
      <c r="C11" s="13" t="s">
        <v>25</v>
      </c>
      <c r="D11" s="13" t="s">
        <v>43</v>
      </c>
      <c r="E11" s="13">
        <v>2009</v>
      </c>
      <c r="F11" s="14">
        <v>6634</v>
      </c>
      <c r="G11" s="13" t="s">
        <v>27</v>
      </c>
      <c r="H11" s="13" t="s">
        <v>44</v>
      </c>
      <c r="I11" s="13" t="s">
        <v>29</v>
      </c>
      <c r="J11" s="13" t="s">
        <v>30</v>
      </c>
      <c r="K11" s="13" t="s">
        <v>31</v>
      </c>
      <c r="L11" s="15" t="s">
        <v>45</v>
      </c>
      <c r="M11" s="25">
        <v>4500</v>
      </c>
      <c r="N11" s="24">
        <v>3500</v>
      </c>
      <c r="O11" s="27" t="s">
        <v>33</v>
      </c>
      <c r="P11" s="26">
        <v>1550000</v>
      </c>
      <c r="Q11" s="2"/>
      <c r="R11" s="17">
        <v>1409132</v>
      </c>
      <c r="S11" s="18" t="s">
        <v>46</v>
      </c>
      <c r="T11" s="23">
        <v>46252.708333333001</v>
      </c>
      <c r="U11" s="2"/>
      <c r="V11" s="2"/>
      <c r="W11" s="2"/>
      <c r="X11" s="2"/>
    </row>
    <row r="12" spans="1:24" ht="24.75" customHeight="1">
      <c r="A12" s="2"/>
      <c r="B12" s="22">
        <f t="shared" si="0"/>
        <v>1409133</v>
      </c>
      <c r="C12" s="13" t="s">
        <v>25</v>
      </c>
      <c r="D12" s="13" t="s">
        <v>47</v>
      </c>
      <c r="E12" s="13">
        <v>2007</v>
      </c>
      <c r="F12" s="14">
        <v>5864</v>
      </c>
      <c r="G12" s="13" t="s">
        <v>27</v>
      </c>
      <c r="H12" s="13"/>
      <c r="I12" s="13" t="s">
        <v>29</v>
      </c>
      <c r="J12" s="13" t="s">
        <v>30</v>
      </c>
      <c r="K12" s="13" t="s">
        <v>31</v>
      </c>
      <c r="L12" s="15" t="s">
        <v>48</v>
      </c>
      <c r="M12" s="25">
        <v>3000</v>
      </c>
      <c r="N12" s="24">
        <v>2900</v>
      </c>
      <c r="O12" s="27" t="s">
        <v>33</v>
      </c>
      <c r="P12" s="26">
        <v>1300000</v>
      </c>
      <c r="Q12" s="2"/>
      <c r="R12" s="17">
        <v>1409133</v>
      </c>
      <c r="S12" s="18" t="s">
        <v>49</v>
      </c>
      <c r="T12" s="23">
        <v>46252.708333333001</v>
      </c>
      <c r="U12" s="2"/>
      <c r="V12" s="2"/>
      <c r="W12" s="2"/>
      <c r="X12" s="2"/>
    </row>
    <row r="13" spans="1:24" ht="24.75" customHeight="1">
      <c r="A13" s="2"/>
      <c r="B13" s="22">
        <f t="shared" si="0"/>
        <v>1409134</v>
      </c>
      <c r="C13" s="13" t="s">
        <v>25</v>
      </c>
      <c r="D13" s="13" t="s">
        <v>35</v>
      </c>
      <c r="E13" s="13">
        <v>2021</v>
      </c>
      <c r="F13" s="14">
        <v>5458</v>
      </c>
      <c r="G13" s="13" t="s">
        <v>27</v>
      </c>
      <c r="H13" s="13"/>
      <c r="I13" s="13" t="s">
        <v>29</v>
      </c>
      <c r="J13" s="13" t="s">
        <v>30</v>
      </c>
      <c r="K13" s="13" t="s">
        <v>31</v>
      </c>
      <c r="L13" s="15" t="s">
        <v>32</v>
      </c>
      <c r="M13" s="25">
        <v>4000</v>
      </c>
      <c r="N13" s="24">
        <v>3000</v>
      </c>
      <c r="O13" s="27" t="s">
        <v>33</v>
      </c>
      <c r="P13" s="26">
        <v>1385000</v>
      </c>
      <c r="Q13" s="2"/>
      <c r="R13" s="17">
        <v>1409134</v>
      </c>
      <c r="S13" s="18" t="s">
        <v>50</v>
      </c>
      <c r="T13" s="23">
        <v>46252.708333333001</v>
      </c>
      <c r="U13" s="2"/>
      <c r="V13" s="2"/>
      <c r="W13" s="2"/>
      <c r="X13" s="2"/>
    </row>
    <row r="14" spans="1:24" ht="24.75" customHeight="1">
      <c r="A14" s="2"/>
      <c r="B14" s="22">
        <f t="shared" si="0"/>
        <v>1409135</v>
      </c>
      <c r="C14" s="13" t="s">
        <v>25</v>
      </c>
      <c r="D14" s="13" t="s">
        <v>35</v>
      </c>
      <c r="E14" s="13">
        <v>2016</v>
      </c>
      <c r="F14" s="14">
        <v>6867</v>
      </c>
      <c r="G14" s="13" t="s">
        <v>27</v>
      </c>
      <c r="H14" s="13"/>
      <c r="I14" s="13" t="s">
        <v>29</v>
      </c>
      <c r="J14" s="13" t="s">
        <v>30</v>
      </c>
      <c r="K14" s="13" t="s">
        <v>31</v>
      </c>
      <c r="L14" s="15" t="s">
        <v>51</v>
      </c>
      <c r="M14" s="25">
        <v>4500</v>
      </c>
      <c r="N14" s="24">
        <v>3000</v>
      </c>
      <c r="O14" s="27" t="s">
        <v>33</v>
      </c>
      <c r="P14" s="26">
        <v>1300000</v>
      </c>
      <c r="Q14" s="2"/>
      <c r="R14" s="17">
        <v>1409135</v>
      </c>
      <c r="S14" s="18" t="s">
        <v>52</v>
      </c>
      <c r="T14" s="23">
        <v>46252.708333333001</v>
      </c>
      <c r="U14" s="2"/>
      <c r="V14" s="2"/>
      <c r="W14" s="2"/>
      <c r="X14" s="2"/>
    </row>
    <row r="15" spans="1:24" ht="24.75" customHeight="1">
      <c r="A15" s="2"/>
      <c r="B15" s="22">
        <f t="shared" si="0"/>
        <v>1409136</v>
      </c>
      <c r="C15" s="13" t="s">
        <v>25</v>
      </c>
      <c r="D15" s="13" t="s">
        <v>53</v>
      </c>
      <c r="E15" s="13">
        <v>2010</v>
      </c>
      <c r="F15" s="14">
        <v>11313</v>
      </c>
      <c r="G15" s="13" t="s">
        <v>27</v>
      </c>
      <c r="H15" s="13"/>
      <c r="I15" s="13" t="s">
        <v>54</v>
      </c>
      <c r="J15" s="13" t="s">
        <v>30</v>
      </c>
      <c r="K15" s="13" t="s">
        <v>31</v>
      </c>
      <c r="L15" s="15" t="s">
        <v>48</v>
      </c>
      <c r="M15" s="25">
        <v>3000</v>
      </c>
      <c r="N15" s="24">
        <v>2350</v>
      </c>
      <c r="O15" s="27" t="s">
        <v>33</v>
      </c>
      <c r="P15" s="26">
        <v>800000</v>
      </c>
      <c r="Q15" s="2"/>
      <c r="R15" s="17">
        <v>1409136</v>
      </c>
      <c r="S15" s="18" t="s">
        <v>55</v>
      </c>
      <c r="T15" s="23">
        <v>46252.708333333001</v>
      </c>
      <c r="U15" s="2"/>
      <c r="V15" s="2"/>
      <c r="W15" s="2"/>
      <c r="X15" s="2"/>
    </row>
    <row r="16" spans="1:24" ht="24.75" customHeight="1">
      <c r="A16" s="2"/>
      <c r="B16" s="22">
        <f t="shared" si="0"/>
        <v>1409137</v>
      </c>
      <c r="C16" s="13" t="s">
        <v>25</v>
      </c>
      <c r="D16" s="13" t="s">
        <v>56</v>
      </c>
      <c r="E16" s="13">
        <v>2020</v>
      </c>
      <c r="F16" s="14">
        <v>8155</v>
      </c>
      <c r="G16" s="13" t="s">
        <v>27</v>
      </c>
      <c r="H16" s="13"/>
      <c r="I16" s="13" t="s">
        <v>54</v>
      </c>
      <c r="J16" s="13" t="s">
        <v>30</v>
      </c>
      <c r="K16" s="13" t="s">
        <v>31</v>
      </c>
      <c r="L16" s="15" t="s">
        <v>48</v>
      </c>
      <c r="M16" s="25">
        <v>3000</v>
      </c>
      <c r="N16" s="24">
        <v>1650</v>
      </c>
      <c r="O16" s="27" t="s">
        <v>33</v>
      </c>
      <c r="P16" s="26">
        <v>880000</v>
      </c>
      <c r="Q16" s="2"/>
      <c r="R16" s="17">
        <v>1409137</v>
      </c>
      <c r="S16" s="18" t="s">
        <v>57</v>
      </c>
      <c r="T16" s="23">
        <v>46252.708333333001</v>
      </c>
      <c r="U16" s="2"/>
      <c r="V16" s="2"/>
      <c r="W16" s="2"/>
      <c r="X16" s="2"/>
    </row>
    <row r="17" spans="1:24" ht="24.75" customHeight="1">
      <c r="A17" s="2"/>
      <c r="B17" s="22">
        <f t="shared" si="0"/>
        <v>1409210</v>
      </c>
      <c r="C17" s="13" t="s">
        <v>25</v>
      </c>
      <c r="D17" s="13" t="s">
        <v>47</v>
      </c>
      <c r="E17" s="13">
        <v>2014</v>
      </c>
      <c r="F17" s="14">
        <v>6498</v>
      </c>
      <c r="G17" s="13" t="s">
        <v>27</v>
      </c>
      <c r="H17" s="13" t="s">
        <v>58</v>
      </c>
      <c r="I17" s="13" t="s">
        <v>29</v>
      </c>
      <c r="J17" s="13" t="s">
        <v>30</v>
      </c>
      <c r="K17" s="13" t="s">
        <v>31</v>
      </c>
      <c r="L17" s="15" t="s">
        <v>36</v>
      </c>
      <c r="M17" s="25">
        <v>3000</v>
      </c>
      <c r="N17" s="24">
        <v>2600</v>
      </c>
      <c r="O17" s="27" t="s">
        <v>33</v>
      </c>
      <c r="P17" s="26">
        <v>1500000</v>
      </c>
      <c r="Q17" s="2"/>
      <c r="R17" s="17">
        <v>1409210</v>
      </c>
      <c r="S17" s="18" t="s">
        <v>59</v>
      </c>
      <c r="T17" s="23">
        <v>46252.708333333001</v>
      </c>
      <c r="U17" s="2"/>
      <c r="V17" s="2"/>
      <c r="W17" s="2"/>
      <c r="X17" s="2"/>
    </row>
    <row r="18" spans="1:24" ht="24.75" customHeight="1">
      <c r="A18" s="2"/>
      <c r="B18" s="22">
        <f t="shared" si="0"/>
        <v>1409211</v>
      </c>
      <c r="C18" s="13" t="s">
        <v>25</v>
      </c>
      <c r="D18" s="13" t="s">
        <v>60</v>
      </c>
      <c r="E18" s="13">
        <v>2021</v>
      </c>
      <c r="F18" s="14">
        <v>5893</v>
      </c>
      <c r="G18" s="13" t="s">
        <v>27</v>
      </c>
      <c r="H18" s="13"/>
      <c r="I18" s="13" t="s">
        <v>29</v>
      </c>
      <c r="J18" s="13" t="s">
        <v>30</v>
      </c>
      <c r="K18" s="13" t="s">
        <v>31</v>
      </c>
      <c r="L18" s="15" t="s">
        <v>36</v>
      </c>
      <c r="M18" s="25">
        <v>3000</v>
      </c>
      <c r="N18" s="24">
        <v>2150</v>
      </c>
      <c r="O18" s="27" t="s">
        <v>33</v>
      </c>
      <c r="P18" s="26">
        <v>1300000</v>
      </c>
      <c r="Q18" s="2"/>
      <c r="R18" s="17">
        <v>1409211</v>
      </c>
      <c r="S18" s="18" t="s">
        <v>61</v>
      </c>
      <c r="T18" s="23">
        <v>46252.708333333001</v>
      </c>
      <c r="U18" s="2"/>
      <c r="V18" s="2"/>
      <c r="W18" s="2"/>
      <c r="X18" s="2"/>
    </row>
    <row r="19" spans="1:24" ht="24.75" customHeight="1">
      <c r="A19" s="2"/>
      <c r="B19" s="22">
        <f t="shared" si="0"/>
        <v>1409212</v>
      </c>
      <c r="C19" s="13" t="s">
        <v>25</v>
      </c>
      <c r="D19" s="13" t="s">
        <v>62</v>
      </c>
      <c r="E19" s="13">
        <v>2021</v>
      </c>
      <c r="F19" s="14">
        <v>10115</v>
      </c>
      <c r="G19" s="13" t="s">
        <v>27</v>
      </c>
      <c r="H19" s="13" t="s">
        <v>63</v>
      </c>
      <c r="I19" s="13" t="s">
        <v>54</v>
      </c>
      <c r="J19" s="13" t="s">
        <v>30</v>
      </c>
      <c r="K19" s="13" t="s">
        <v>31</v>
      </c>
      <c r="L19" s="15" t="s">
        <v>48</v>
      </c>
      <c r="M19" s="25">
        <v>3000</v>
      </c>
      <c r="N19" s="24">
        <v>2450</v>
      </c>
      <c r="O19" s="27" t="s">
        <v>33</v>
      </c>
      <c r="P19" s="26">
        <v>1000000</v>
      </c>
      <c r="Q19" s="2"/>
      <c r="R19" s="17">
        <v>1409212</v>
      </c>
      <c r="S19" s="18" t="s">
        <v>64</v>
      </c>
      <c r="T19" s="23">
        <v>46252.708333333001</v>
      </c>
      <c r="U19" s="2"/>
      <c r="V19" s="2"/>
      <c r="W19" s="2"/>
      <c r="X19" s="2"/>
    </row>
    <row r="20" spans="1:24" ht="24.75" customHeight="1">
      <c r="A20" s="2"/>
      <c r="B20" s="22">
        <f t="shared" si="0"/>
        <v>1409213</v>
      </c>
      <c r="C20" s="13" t="s">
        <v>25</v>
      </c>
      <c r="D20" s="13" t="s">
        <v>65</v>
      </c>
      <c r="E20" s="13">
        <v>2021</v>
      </c>
      <c r="F20" s="14">
        <v>17402</v>
      </c>
      <c r="G20" s="13" t="s">
        <v>27</v>
      </c>
      <c r="H20" s="13"/>
      <c r="I20" s="13" t="s">
        <v>54</v>
      </c>
      <c r="J20" s="13" t="s">
        <v>30</v>
      </c>
      <c r="K20" s="13" t="s">
        <v>31</v>
      </c>
      <c r="L20" s="15" t="s">
        <v>32</v>
      </c>
      <c r="M20" s="25">
        <v>3000</v>
      </c>
      <c r="N20" s="24">
        <v>1500</v>
      </c>
      <c r="O20" s="27" t="s">
        <v>33</v>
      </c>
      <c r="P20" s="26">
        <v>630000</v>
      </c>
      <c r="Q20" s="2"/>
      <c r="R20" s="17">
        <v>1409213</v>
      </c>
      <c r="S20" s="18" t="s">
        <v>66</v>
      </c>
      <c r="T20" s="23">
        <v>46252.708333333001</v>
      </c>
      <c r="U20" s="2"/>
      <c r="V20" s="2"/>
      <c r="W20" s="2"/>
      <c r="X20" s="2"/>
    </row>
    <row r="21" spans="1:24" ht="24.75" customHeight="1">
      <c r="A21" s="2"/>
      <c r="B21" s="22">
        <f t="shared" si="0"/>
        <v>1409214</v>
      </c>
      <c r="C21" s="13" t="s">
        <v>25</v>
      </c>
      <c r="D21" s="13" t="s">
        <v>65</v>
      </c>
      <c r="E21" s="13">
        <v>2021</v>
      </c>
      <c r="F21" s="14">
        <v>16942</v>
      </c>
      <c r="G21" s="13" t="s">
        <v>27</v>
      </c>
      <c r="H21" s="13" t="s">
        <v>67</v>
      </c>
      <c r="I21" s="13" t="s">
        <v>54</v>
      </c>
      <c r="J21" s="13" t="s">
        <v>30</v>
      </c>
      <c r="K21" s="13" t="s">
        <v>31</v>
      </c>
      <c r="L21" s="15" t="s">
        <v>32</v>
      </c>
      <c r="M21" s="25">
        <v>3000</v>
      </c>
      <c r="N21" s="24">
        <v>1500</v>
      </c>
      <c r="O21" s="27" t="s">
        <v>33</v>
      </c>
      <c r="P21" s="26">
        <v>650000</v>
      </c>
      <c r="Q21" s="2"/>
      <c r="R21" s="17">
        <v>1409214</v>
      </c>
      <c r="S21" s="18" t="s">
        <v>68</v>
      </c>
      <c r="T21" s="23">
        <v>46252.708333333001</v>
      </c>
      <c r="U21" s="2"/>
      <c r="V21" s="2"/>
      <c r="W21" s="2"/>
      <c r="X21" s="2"/>
    </row>
    <row r="22" spans="1:24" ht="24.75" customHeight="1">
      <c r="A22" s="2"/>
      <c r="B22" s="22">
        <f t="shared" si="0"/>
        <v>1409215</v>
      </c>
      <c r="C22" s="13" t="s">
        <v>25</v>
      </c>
      <c r="D22" s="13" t="s">
        <v>65</v>
      </c>
      <c r="E22" s="13">
        <v>2021</v>
      </c>
      <c r="F22" s="14">
        <v>18624</v>
      </c>
      <c r="G22" s="13" t="s">
        <v>27</v>
      </c>
      <c r="H22" s="13" t="s">
        <v>69</v>
      </c>
      <c r="I22" s="13" t="s">
        <v>54</v>
      </c>
      <c r="J22" s="13" t="s">
        <v>30</v>
      </c>
      <c r="K22" s="13" t="s">
        <v>31</v>
      </c>
      <c r="L22" s="15" t="s">
        <v>32</v>
      </c>
      <c r="M22" s="25">
        <v>3000</v>
      </c>
      <c r="N22" s="24">
        <v>1500</v>
      </c>
      <c r="O22" s="27" t="s">
        <v>33</v>
      </c>
      <c r="P22" s="26">
        <v>630000</v>
      </c>
      <c r="Q22" s="2"/>
      <c r="R22" s="17">
        <v>1409215</v>
      </c>
      <c r="S22" s="18" t="s">
        <v>70</v>
      </c>
      <c r="T22" s="23">
        <v>46252.708333333001</v>
      </c>
      <c r="U22" s="2"/>
      <c r="V22" s="2"/>
      <c r="W22" s="2"/>
      <c r="X22" s="2"/>
    </row>
    <row r="23" spans="1:24" ht="24.75" customHeight="1">
      <c r="A23" s="2"/>
      <c r="B23" s="22">
        <f t="shared" si="0"/>
        <v>1409216</v>
      </c>
      <c r="C23" s="13" t="s">
        <v>25</v>
      </c>
      <c r="D23" s="13" t="s">
        <v>65</v>
      </c>
      <c r="E23" s="13">
        <v>2021</v>
      </c>
      <c r="F23" s="14">
        <v>18986</v>
      </c>
      <c r="G23" s="13" t="s">
        <v>27</v>
      </c>
      <c r="H23" s="13" t="s">
        <v>71</v>
      </c>
      <c r="I23" s="13" t="s">
        <v>54</v>
      </c>
      <c r="J23" s="13" t="s">
        <v>30</v>
      </c>
      <c r="K23" s="13" t="s">
        <v>31</v>
      </c>
      <c r="L23" s="15" t="s">
        <v>32</v>
      </c>
      <c r="M23" s="25">
        <v>3000</v>
      </c>
      <c r="N23" s="24">
        <v>1500</v>
      </c>
      <c r="O23" s="27" t="s">
        <v>33</v>
      </c>
      <c r="P23" s="26">
        <v>630000</v>
      </c>
      <c r="Q23" s="2"/>
      <c r="R23" s="17">
        <v>1409216</v>
      </c>
      <c r="S23" s="18" t="s">
        <v>72</v>
      </c>
      <c r="T23" s="23">
        <v>46252.708333333001</v>
      </c>
      <c r="U23" s="2"/>
      <c r="V23" s="2"/>
      <c r="W23" s="2"/>
      <c r="X23" s="2"/>
    </row>
    <row r="24" spans="1:24" ht="24.75" customHeight="1">
      <c r="A24" s="2"/>
      <c r="B24" s="22">
        <f t="shared" si="0"/>
        <v>1409217</v>
      </c>
      <c r="C24" s="13" t="s">
        <v>25</v>
      </c>
      <c r="D24" s="13" t="s">
        <v>35</v>
      </c>
      <c r="E24" s="13">
        <v>2019</v>
      </c>
      <c r="F24" s="14">
        <v>803</v>
      </c>
      <c r="G24" s="13" t="s">
        <v>27</v>
      </c>
      <c r="H24" s="13" t="s">
        <v>73</v>
      </c>
      <c r="I24" s="13" t="s">
        <v>29</v>
      </c>
      <c r="J24" s="13" t="s">
        <v>30</v>
      </c>
      <c r="K24" s="13" t="s">
        <v>31</v>
      </c>
      <c r="L24" s="15" t="s">
        <v>32</v>
      </c>
      <c r="M24" s="25">
        <v>3000</v>
      </c>
      <c r="N24" s="24">
        <v>3000</v>
      </c>
      <c r="O24" s="27" t="s">
        <v>33</v>
      </c>
      <c r="P24" s="26">
        <v>1200000</v>
      </c>
      <c r="Q24" s="2"/>
      <c r="R24" s="17">
        <v>1409217</v>
      </c>
      <c r="S24" s="18" t="s">
        <v>74</v>
      </c>
      <c r="T24" s="23">
        <v>46252.708333333001</v>
      </c>
      <c r="U24" s="2"/>
      <c r="V24" s="2"/>
      <c r="W24" s="2"/>
      <c r="X24" s="2"/>
    </row>
    <row r="25" spans="1:24" ht="24.75" customHeight="1">
      <c r="A25" s="2"/>
      <c r="B25" s="22">
        <f t="shared" si="0"/>
        <v>1409218</v>
      </c>
      <c r="C25" s="13" t="s">
        <v>25</v>
      </c>
      <c r="D25" s="13" t="s">
        <v>75</v>
      </c>
      <c r="E25" s="13">
        <v>2016</v>
      </c>
      <c r="F25" s="14">
        <v>1231</v>
      </c>
      <c r="G25" s="13" t="s">
        <v>27</v>
      </c>
      <c r="H25" s="13"/>
      <c r="I25" s="13" t="s">
        <v>76</v>
      </c>
      <c r="J25" s="13" t="s">
        <v>30</v>
      </c>
      <c r="K25" s="13" t="s">
        <v>31</v>
      </c>
      <c r="L25" s="15" t="s">
        <v>32</v>
      </c>
      <c r="M25" s="25">
        <v>3000</v>
      </c>
      <c r="N25" s="24">
        <v>1000</v>
      </c>
      <c r="O25" s="27" t="s">
        <v>33</v>
      </c>
      <c r="P25" s="26">
        <v>550000</v>
      </c>
      <c r="Q25" s="2"/>
      <c r="R25" s="17">
        <v>1409218</v>
      </c>
      <c r="S25" s="18" t="s">
        <v>77</v>
      </c>
      <c r="T25" s="23">
        <v>46252.708333333001</v>
      </c>
      <c r="U25" s="2"/>
      <c r="V25" s="2"/>
      <c r="W25" s="2"/>
      <c r="X25" s="2"/>
    </row>
    <row r="26" spans="1:24" ht="24.75" customHeight="1">
      <c r="A26" s="2"/>
      <c r="B26" s="22">
        <f t="shared" si="0"/>
        <v>1409224</v>
      </c>
      <c r="C26" s="13" t="s">
        <v>25</v>
      </c>
      <c r="D26" s="13" t="s">
        <v>60</v>
      </c>
      <c r="E26" s="13">
        <v>2020</v>
      </c>
      <c r="F26" s="14">
        <v>5951</v>
      </c>
      <c r="G26" s="13" t="s">
        <v>27</v>
      </c>
      <c r="H26" s="13"/>
      <c r="I26" s="13" t="s">
        <v>29</v>
      </c>
      <c r="J26" s="13" t="s">
        <v>30</v>
      </c>
      <c r="K26" s="13" t="s">
        <v>31</v>
      </c>
      <c r="L26" s="15" t="s">
        <v>78</v>
      </c>
      <c r="M26" s="25">
        <v>3000</v>
      </c>
      <c r="N26" s="24">
        <v>1950</v>
      </c>
      <c r="O26" s="27" t="s">
        <v>33</v>
      </c>
      <c r="P26" s="26">
        <v>1300000</v>
      </c>
      <c r="Q26" s="2"/>
      <c r="R26" s="17">
        <v>1409224</v>
      </c>
      <c r="S26" s="18" t="s">
        <v>79</v>
      </c>
      <c r="T26" s="23">
        <v>46252.708333333001</v>
      </c>
      <c r="U26" s="2"/>
      <c r="V26" s="2"/>
      <c r="W26" s="2"/>
      <c r="X26" s="2"/>
    </row>
    <row r="27" spans="1:24" ht="24.75" customHeight="1">
      <c r="A27" s="2"/>
      <c r="B27" s="22">
        <f t="shared" si="0"/>
        <v>1409277</v>
      </c>
      <c r="C27" s="13" t="s">
        <v>25</v>
      </c>
      <c r="D27" s="13" t="s">
        <v>80</v>
      </c>
      <c r="E27" s="13">
        <v>2015</v>
      </c>
      <c r="F27" s="14">
        <v>5180</v>
      </c>
      <c r="G27" s="13" t="s">
        <v>27</v>
      </c>
      <c r="H27" s="13"/>
      <c r="I27" s="13" t="s">
        <v>29</v>
      </c>
      <c r="J27" s="13" t="s">
        <v>30</v>
      </c>
      <c r="K27" s="13" t="s">
        <v>31</v>
      </c>
      <c r="L27" s="15" t="s">
        <v>32</v>
      </c>
      <c r="M27" s="25">
        <v>3000</v>
      </c>
      <c r="N27" s="24">
        <v>2000</v>
      </c>
      <c r="O27" s="27" t="s">
        <v>33</v>
      </c>
      <c r="P27" s="26">
        <v>1080000</v>
      </c>
      <c r="Q27" s="2"/>
      <c r="R27" s="17">
        <v>1409277</v>
      </c>
      <c r="S27" s="18" t="s">
        <v>81</v>
      </c>
      <c r="T27" s="23">
        <v>46252.708333333001</v>
      </c>
      <c r="U27" s="2"/>
      <c r="V27" s="2"/>
      <c r="W27" s="2"/>
      <c r="X27" s="2"/>
    </row>
    <row r="28" spans="1:24" ht="24.75" customHeight="1">
      <c r="A28" s="2"/>
      <c r="B28" s="22">
        <f t="shared" si="0"/>
        <v>1409278</v>
      </c>
      <c r="C28" s="13" t="s">
        <v>25</v>
      </c>
      <c r="D28" s="13" t="s">
        <v>35</v>
      </c>
      <c r="E28" s="13">
        <v>2017</v>
      </c>
      <c r="F28" s="14">
        <v>6786</v>
      </c>
      <c r="G28" s="13" t="s">
        <v>27</v>
      </c>
      <c r="H28" s="13" t="s">
        <v>82</v>
      </c>
      <c r="I28" s="13" t="s">
        <v>29</v>
      </c>
      <c r="J28" s="13" t="s">
        <v>30</v>
      </c>
      <c r="K28" s="13" t="s">
        <v>31</v>
      </c>
      <c r="L28" s="15" t="s">
        <v>32</v>
      </c>
      <c r="M28" s="25">
        <v>4500</v>
      </c>
      <c r="N28" s="24">
        <v>3000</v>
      </c>
      <c r="O28" s="27" t="s">
        <v>33</v>
      </c>
      <c r="P28" s="26">
        <v>1300000</v>
      </c>
      <c r="Q28" s="2"/>
      <c r="R28" s="17">
        <v>1409278</v>
      </c>
      <c r="S28" s="18" t="s">
        <v>83</v>
      </c>
      <c r="T28" s="23">
        <v>46252.708333333001</v>
      </c>
      <c r="U28" s="2"/>
      <c r="V28" s="2"/>
      <c r="W28" s="2"/>
      <c r="X28" s="2"/>
    </row>
    <row r="29" spans="1:24" ht="24.75" customHeight="1">
      <c r="A29" s="2"/>
      <c r="B29" s="22">
        <f t="shared" si="0"/>
        <v>1409279</v>
      </c>
      <c r="C29" s="13" t="s">
        <v>25</v>
      </c>
      <c r="D29" s="13" t="s">
        <v>84</v>
      </c>
      <c r="E29" s="13">
        <v>2005</v>
      </c>
      <c r="F29" s="14">
        <v>13453</v>
      </c>
      <c r="G29" s="13" t="s">
        <v>27</v>
      </c>
      <c r="H29" s="13" t="s">
        <v>85</v>
      </c>
      <c r="I29" s="13" t="s">
        <v>29</v>
      </c>
      <c r="J29" s="13" t="s">
        <v>30</v>
      </c>
      <c r="K29" s="13" t="s">
        <v>31</v>
      </c>
      <c r="L29" s="15" t="s">
        <v>36</v>
      </c>
      <c r="M29" s="25">
        <v>4000</v>
      </c>
      <c r="N29" s="24">
        <v>2750</v>
      </c>
      <c r="O29" s="27" t="s">
        <v>33</v>
      </c>
      <c r="P29" s="26">
        <v>1150000</v>
      </c>
      <c r="Q29" s="2"/>
      <c r="R29" s="17">
        <v>1409279</v>
      </c>
      <c r="S29" s="18" t="s">
        <v>86</v>
      </c>
      <c r="T29" s="23">
        <v>46252.708333333001</v>
      </c>
      <c r="U29" s="2"/>
      <c r="V29" s="2"/>
      <c r="W29" s="2"/>
      <c r="X29" s="2"/>
    </row>
    <row r="30" spans="1:24" ht="24.75" customHeight="1">
      <c r="A30" s="2"/>
      <c r="B30" s="22">
        <f t="shared" si="0"/>
        <v>1409280</v>
      </c>
      <c r="C30" s="13" t="s">
        <v>25</v>
      </c>
      <c r="D30" s="13" t="s">
        <v>60</v>
      </c>
      <c r="E30" s="13">
        <v>2021</v>
      </c>
      <c r="F30" s="14">
        <v>6835</v>
      </c>
      <c r="G30" s="13" t="s">
        <v>27</v>
      </c>
      <c r="H30" s="13"/>
      <c r="I30" s="13" t="s">
        <v>29</v>
      </c>
      <c r="J30" s="13" t="s">
        <v>30</v>
      </c>
      <c r="K30" s="13" t="s">
        <v>31</v>
      </c>
      <c r="L30" s="15" t="s">
        <v>45</v>
      </c>
      <c r="M30" s="25">
        <v>4500</v>
      </c>
      <c r="N30" s="24">
        <v>2300</v>
      </c>
      <c r="O30" s="27" t="s">
        <v>33</v>
      </c>
      <c r="P30" s="26">
        <v>1300000</v>
      </c>
      <c r="Q30" s="2"/>
      <c r="R30" s="17">
        <v>1409280</v>
      </c>
      <c r="S30" s="18" t="s">
        <v>87</v>
      </c>
      <c r="T30" s="23">
        <v>46252.708333333001</v>
      </c>
      <c r="U30" s="2"/>
      <c r="V30" s="2"/>
      <c r="W30" s="2"/>
      <c r="X30" s="2"/>
    </row>
    <row r="31" spans="1:24" ht="24.75" customHeight="1">
      <c r="A31" s="2"/>
      <c r="B31" s="22">
        <f t="shared" si="0"/>
        <v>1409281</v>
      </c>
      <c r="C31" s="13" t="s">
        <v>25</v>
      </c>
      <c r="D31" s="13" t="s">
        <v>88</v>
      </c>
      <c r="E31" s="13">
        <v>1991</v>
      </c>
      <c r="F31" s="14">
        <v>3293</v>
      </c>
      <c r="G31" s="13" t="s">
        <v>27</v>
      </c>
      <c r="H31" s="13"/>
      <c r="I31" s="13" t="s">
        <v>29</v>
      </c>
      <c r="J31" s="13" t="s">
        <v>30</v>
      </c>
      <c r="K31" s="13" t="s">
        <v>31</v>
      </c>
      <c r="L31" s="15" t="s">
        <v>51</v>
      </c>
      <c r="M31" s="25">
        <v>3000</v>
      </c>
      <c r="N31" s="24">
        <v>950</v>
      </c>
      <c r="O31" s="27" t="s">
        <v>33</v>
      </c>
      <c r="P31" s="26">
        <v>250000</v>
      </c>
      <c r="Q31" s="2"/>
      <c r="R31" s="17">
        <v>1409281</v>
      </c>
      <c r="S31" s="18" t="s">
        <v>89</v>
      </c>
      <c r="T31" s="23">
        <v>46252.708333333001</v>
      </c>
      <c r="U31" s="2"/>
      <c r="V31" s="2"/>
      <c r="W31" s="2"/>
      <c r="X31" s="2"/>
    </row>
    <row r="32" spans="1:24" ht="24.75" customHeight="1">
      <c r="A32" s="2"/>
      <c r="B32" s="22">
        <f t="shared" si="0"/>
        <v>1409282</v>
      </c>
      <c r="C32" s="13" t="s">
        <v>90</v>
      </c>
      <c r="D32" s="13" t="s">
        <v>91</v>
      </c>
      <c r="E32" s="13">
        <v>1999</v>
      </c>
      <c r="F32" s="14">
        <v>2190</v>
      </c>
      <c r="G32" s="13" t="s">
        <v>27</v>
      </c>
      <c r="H32" s="13" t="s">
        <v>92</v>
      </c>
      <c r="I32" s="13" t="s">
        <v>29</v>
      </c>
      <c r="J32" s="13" t="s">
        <v>30</v>
      </c>
      <c r="K32" s="13" t="s">
        <v>31</v>
      </c>
      <c r="L32" s="15" t="s">
        <v>32</v>
      </c>
      <c r="M32" s="25">
        <v>3000</v>
      </c>
      <c r="N32" s="24">
        <v>2500</v>
      </c>
      <c r="O32" s="27" t="s">
        <v>33</v>
      </c>
      <c r="P32" s="26">
        <v>800000</v>
      </c>
      <c r="Q32" s="2"/>
      <c r="R32" s="17">
        <v>1409282</v>
      </c>
      <c r="S32" s="18" t="s">
        <v>93</v>
      </c>
      <c r="T32" s="23">
        <v>46252.708333333001</v>
      </c>
      <c r="U32" s="2"/>
      <c r="V32" s="2"/>
      <c r="W32" s="2"/>
      <c r="X32" s="2"/>
    </row>
    <row r="33" spans="1:24" ht="24.75" customHeight="1">
      <c r="A33" s="2"/>
      <c r="B33" s="22">
        <f t="shared" si="0"/>
        <v>1409283</v>
      </c>
      <c r="C33" s="13" t="s">
        <v>25</v>
      </c>
      <c r="D33" s="13" t="s">
        <v>94</v>
      </c>
      <c r="E33" s="13">
        <v>2006</v>
      </c>
      <c r="F33" s="14">
        <v>39540</v>
      </c>
      <c r="G33" s="13" t="s">
        <v>27</v>
      </c>
      <c r="H33" s="13" t="s">
        <v>44</v>
      </c>
      <c r="I33" s="13" t="s">
        <v>54</v>
      </c>
      <c r="J33" s="13" t="s">
        <v>30</v>
      </c>
      <c r="K33" s="13" t="s">
        <v>31</v>
      </c>
      <c r="L33" s="15" t="s">
        <v>32</v>
      </c>
      <c r="M33" s="25">
        <v>3000</v>
      </c>
      <c r="N33" s="24">
        <v>2500</v>
      </c>
      <c r="O33" s="27" t="s">
        <v>33</v>
      </c>
      <c r="P33" s="26">
        <v>800000</v>
      </c>
      <c r="Q33" s="2"/>
      <c r="R33" s="17">
        <v>1409283</v>
      </c>
      <c r="S33" s="18" t="s">
        <v>95</v>
      </c>
      <c r="T33" s="23">
        <v>46252.708333333001</v>
      </c>
      <c r="U33" s="2"/>
      <c r="V33" s="2"/>
      <c r="W33" s="2"/>
      <c r="X33" s="2"/>
    </row>
    <row r="34" spans="1:24" ht="24.75" customHeight="1">
      <c r="A34" s="2"/>
      <c r="B34" s="22">
        <f t="shared" si="0"/>
        <v>1409284</v>
      </c>
      <c r="C34" s="13" t="s">
        <v>25</v>
      </c>
      <c r="D34" s="13" t="s">
        <v>96</v>
      </c>
      <c r="E34" s="13">
        <v>2003</v>
      </c>
      <c r="F34" s="14">
        <v>416</v>
      </c>
      <c r="G34" s="13" t="s">
        <v>27</v>
      </c>
      <c r="H34" s="13" t="s">
        <v>97</v>
      </c>
      <c r="I34" s="13" t="s">
        <v>54</v>
      </c>
      <c r="J34" s="13" t="s">
        <v>30</v>
      </c>
      <c r="K34" s="13" t="s">
        <v>98</v>
      </c>
      <c r="L34" s="15" t="s">
        <v>78</v>
      </c>
      <c r="M34" s="25">
        <v>4300</v>
      </c>
      <c r="N34" s="24">
        <v>950</v>
      </c>
      <c r="O34" s="27" t="s">
        <v>33</v>
      </c>
      <c r="P34" s="26">
        <v>450000</v>
      </c>
      <c r="Q34" s="2"/>
      <c r="R34" s="17">
        <v>1409284</v>
      </c>
      <c r="S34" s="18" t="s">
        <v>99</v>
      </c>
      <c r="T34" s="23">
        <v>46252.708333333001</v>
      </c>
      <c r="U34" s="2"/>
      <c r="V34" s="2"/>
      <c r="W34" s="2"/>
      <c r="X34" s="2"/>
    </row>
    <row r="35" spans="1:24" ht="24.75" customHeight="1">
      <c r="A35" s="2"/>
      <c r="B35" s="22">
        <f t="shared" si="0"/>
        <v>1409285</v>
      </c>
      <c r="C35" s="13" t="s">
        <v>25</v>
      </c>
      <c r="D35" s="13" t="s">
        <v>100</v>
      </c>
      <c r="E35" s="13">
        <v>2016</v>
      </c>
      <c r="F35" s="14">
        <v>676</v>
      </c>
      <c r="G35" s="13" t="s">
        <v>27</v>
      </c>
      <c r="H35" s="13" t="s">
        <v>101</v>
      </c>
      <c r="I35" s="13" t="s">
        <v>76</v>
      </c>
      <c r="J35" s="13" t="s">
        <v>30</v>
      </c>
      <c r="K35" s="13" t="s">
        <v>31</v>
      </c>
      <c r="L35" s="15" t="s">
        <v>32</v>
      </c>
      <c r="M35" s="25">
        <v>3000</v>
      </c>
      <c r="N35" s="24">
        <v>4500</v>
      </c>
      <c r="O35" s="27" t="s">
        <v>33</v>
      </c>
      <c r="P35" s="26">
        <v>2400000</v>
      </c>
      <c r="Q35" s="2"/>
      <c r="R35" s="17">
        <v>1409285</v>
      </c>
      <c r="S35" s="18" t="s">
        <v>102</v>
      </c>
      <c r="T35" s="23">
        <v>46252.708333333001</v>
      </c>
      <c r="U35" s="2"/>
      <c r="V35" s="2"/>
      <c r="W35" s="2"/>
      <c r="X35" s="2"/>
    </row>
    <row r="36" spans="1:24" ht="24.75" customHeight="1">
      <c r="A36" s="2"/>
      <c r="B36" s="22">
        <f t="shared" si="0"/>
        <v>1409286</v>
      </c>
      <c r="C36" s="13" t="s">
        <v>25</v>
      </c>
      <c r="D36" s="13" t="s">
        <v>103</v>
      </c>
      <c r="E36" s="13">
        <v>1995</v>
      </c>
      <c r="F36" s="14">
        <v>3207</v>
      </c>
      <c r="G36" s="13" t="s">
        <v>27</v>
      </c>
      <c r="H36" s="13" t="s">
        <v>104</v>
      </c>
      <c r="I36" s="13" t="s">
        <v>54</v>
      </c>
      <c r="J36" s="13" t="s">
        <v>30</v>
      </c>
      <c r="K36" s="13" t="s">
        <v>31</v>
      </c>
      <c r="L36" s="15" t="s">
        <v>32</v>
      </c>
      <c r="M36" s="25">
        <v>3000</v>
      </c>
      <c r="N36" s="24">
        <v>2000</v>
      </c>
      <c r="O36" s="27" t="s">
        <v>33</v>
      </c>
      <c r="P36" s="26">
        <v>360000</v>
      </c>
      <c r="Q36" s="2"/>
      <c r="R36" s="17">
        <v>1409286</v>
      </c>
      <c r="S36" s="18" t="s">
        <v>105</v>
      </c>
      <c r="T36" s="23">
        <v>46252.708333333001</v>
      </c>
      <c r="U36" s="2"/>
      <c r="V36" s="2"/>
      <c r="W36" s="2"/>
      <c r="X36" s="2"/>
    </row>
    <row r="37" spans="1:24" ht="24.75" customHeight="1">
      <c r="A37" s="2"/>
      <c r="B37" s="22">
        <f t="shared" si="0"/>
        <v>1409287</v>
      </c>
      <c r="C37" s="13" t="s">
        <v>25</v>
      </c>
      <c r="D37" s="13" t="s">
        <v>106</v>
      </c>
      <c r="E37" s="13">
        <v>2020</v>
      </c>
      <c r="F37" s="14">
        <v>11668</v>
      </c>
      <c r="G37" s="13" t="s">
        <v>27</v>
      </c>
      <c r="H37" s="13"/>
      <c r="I37" s="13" t="s">
        <v>76</v>
      </c>
      <c r="J37" s="13" t="s">
        <v>30</v>
      </c>
      <c r="K37" s="13" t="s">
        <v>31</v>
      </c>
      <c r="L37" s="15" t="s">
        <v>32</v>
      </c>
      <c r="M37" s="25">
        <v>4000</v>
      </c>
      <c r="N37" s="24">
        <v>2500</v>
      </c>
      <c r="O37" s="27" t="s">
        <v>33</v>
      </c>
      <c r="P37" s="26">
        <v>1230000</v>
      </c>
      <c r="Q37" s="2"/>
      <c r="R37" s="17">
        <v>1409287</v>
      </c>
      <c r="S37" s="18" t="s">
        <v>107</v>
      </c>
      <c r="T37" s="23">
        <v>46252.708333333001</v>
      </c>
      <c r="U37" s="2"/>
      <c r="V37" s="2"/>
      <c r="W37" s="2"/>
      <c r="X37" s="2"/>
    </row>
    <row r="38" spans="1:24" ht="24.75" customHeight="1">
      <c r="A38" s="2"/>
      <c r="B38" s="22">
        <f t="shared" ref="B38:B69" si="1">HYPERLINK(S38,R38)</f>
        <v>1409288</v>
      </c>
      <c r="C38" s="13" t="s">
        <v>108</v>
      </c>
      <c r="D38" s="13" t="s">
        <v>109</v>
      </c>
      <c r="E38" s="13">
        <v>2014</v>
      </c>
      <c r="F38" s="14" t="s">
        <v>110</v>
      </c>
      <c r="G38" s="13" t="s">
        <v>111</v>
      </c>
      <c r="H38" s="13" t="s">
        <v>112</v>
      </c>
      <c r="I38" s="13" t="s">
        <v>29</v>
      </c>
      <c r="J38" s="13" t="s">
        <v>30</v>
      </c>
      <c r="K38" s="13" t="s">
        <v>31</v>
      </c>
      <c r="L38" s="15" t="s">
        <v>36</v>
      </c>
      <c r="M38" s="25">
        <v>3000</v>
      </c>
      <c r="N38" s="24">
        <v>2600</v>
      </c>
      <c r="O38" s="27" t="s">
        <v>33</v>
      </c>
      <c r="P38" s="26">
        <v>1900000</v>
      </c>
      <c r="Q38" s="2"/>
      <c r="R38" s="17">
        <v>1409288</v>
      </c>
      <c r="S38" s="18" t="s">
        <v>113</v>
      </c>
      <c r="T38" s="23">
        <v>46252.708333333001</v>
      </c>
      <c r="U38" s="2"/>
      <c r="V38" s="2"/>
      <c r="W38" s="2"/>
      <c r="X38" s="2"/>
    </row>
    <row r="39" spans="1:24" ht="24.75" customHeight="1">
      <c r="A39" s="2"/>
      <c r="B39" s="22">
        <f t="shared" si="1"/>
        <v>1409289</v>
      </c>
      <c r="C39" s="13" t="s">
        <v>25</v>
      </c>
      <c r="D39" s="13" t="s">
        <v>114</v>
      </c>
      <c r="E39" s="13">
        <v>1990</v>
      </c>
      <c r="F39" s="14">
        <v>13338</v>
      </c>
      <c r="G39" s="13" t="s">
        <v>27</v>
      </c>
      <c r="H39" s="13" t="s">
        <v>115</v>
      </c>
      <c r="I39" s="13" t="s">
        <v>54</v>
      </c>
      <c r="J39" s="13" t="s">
        <v>30</v>
      </c>
      <c r="K39" s="13" t="s">
        <v>31</v>
      </c>
      <c r="L39" s="15" t="s">
        <v>32</v>
      </c>
      <c r="M39" s="25">
        <v>3000</v>
      </c>
      <c r="N39" s="24">
        <v>2500</v>
      </c>
      <c r="O39" s="27" t="s">
        <v>33</v>
      </c>
      <c r="P39" s="26">
        <v>265000</v>
      </c>
      <c r="Q39" s="2"/>
      <c r="R39" s="17">
        <v>1409289</v>
      </c>
      <c r="S39" s="18" t="s">
        <v>116</v>
      </c>
      <c r="T39" s="23">
        <v>46252.708333333001</v>
      </c>
      <c r="U39" s="2"/>
      <c r="V39" s="2"/>
      <c r="W39" s="2"/>
      <c r="X39" s="2"/>
    </row>
    <row r="40" spans="1:24" ht="24.75" customHeight="1">
      <c r="A40" s="2"/>
      <c r="B40" s="22">
        <f t="shared" si="1"/>
        <v>1409290</v>
      </c>
      <c r="C40" s="13" t="s">
        <v>25</v>
      </c>
      <c r="D40" s="13" t="s">
        <v>106</v>
      </c>
      <c r="E40" s="13">
        <v>2022</v>
      </c>
      <c r="F40" s="14">
        <v>11409</v>
      </c>
      <c r="G40" s="13" t="s">
        <v>27</v>
      </c>
      <c r="H40" s="13"/>
      <c r="I40" s="13" t="s">
        <v>76</v>
      </c>
      <c r="J40" s="13" t="s">
        <v>30</v>
      </c>
      <c r="K40" s="13" t="s">
        <v>31</v>
      </c>
      <c r="L40" s="15" t="s">
        <v>32</v>
      </c>
      <c r="M40" s="25">
        <v>3000</v>
      </c>
      <c r="N40" s="24">
        <v>2500</v>
      </c>
      <c r="O40" s="27" t="s">
        <v>33</v>
      </c>
      <c r="P40" s="26">
        <v>1280000</v>
      </c>
      <c r="Q40" s="2"/>
      <c r="R40" s="17">
        <v>1409290</v>
      </c>
      <c r="S40" s="18" t="s">
        <v>117</v>
      </c>
      <c r="T40" s="23">
        <v>46252.708333333001</v>
      </c>
      <c r="U40" s="2"/>
      <c r="V40" s="2"/>
      <c r="W40" s="2"/>
      <c r="X40" s="2"/>
    </row>
    <row r="41" spans="1:24" ht="24.75" customHeight="1">
      <c r="A41" s="2"/>
      <c r="B41" s="22">
        <f t="shared" si="1"/>
        <v>1409291</v>
      </c>
      <c r="C41" s="13" t="s">
        <v>25</v>
      </c>
      <c r="D41" s="13" t="s">
        <v>118</v>
      </c>
      <c r="E41" s="13">
        <v>2025</v>
      </c>
      <c r="F41" s="14">
        <v>971</v>
      </c>
      <c r="G41" s="13" t="s">
        <v>27</v>
      </c>
      <c r="H41" s="13" t="s">
        <v>119</v>
      </c>
      <c r="I41" s="13" t="s">
        <v>76</v>
      </c>
      <c r="J41" s="13" t="s">
        <v>120</v>
      </c>
      <c r="K41" s="13" t="s">
        <v>98</v>
      </c>
      <c r="L41" s="15" t="s">
        <v>121</v>
      </c>
      <c r="M41" s="25">
        <v>4500</v>
      </c>
      <c r="N41" s="24">
        <v>1450</v>
      </c>
      <c r="O41" s="27" t="s">
        <v>33</v>
      </c>
      <c r="P41" s="26">
        <v>700000</v>
      </c>
      <c r="Q41" s="2"/>
      <c r="R41" s="17">
        <v>1409291</v>
      </c>
      <c r="S41" s="18" t="s">
        <v>122</v>
      </c>
      <c r="T41" s="23">
        <v>46252.708333333001</v>
      </c>
      <c r="U41" s="2"/>
      <c r="V41" s="2"/>
      <c r="W41" s="2"/>
      <c r="X41" s="2"/>
    </row>
    <row r="42" spans="1:24" ht="24.75" customHeight="1">
      <c r="A42" s="2"/>
      <c r="B42" s="22">
        <f t="shared" si="1"/>
        <v>1409292</v>
      </c>
      <c r="C42" s="13" t="s">
        <v>25</v>
      </c>
      <c r="D42" s="13" t="s">
        <v>123</v>
      </c>
      <c r="E42" s="13">
        <v>2022</v>
      </c>
      <c r="F42" s="14">
        <v>8178</v>
      </c>
      <c r="G42" s="13" t="s">
        <v>27</v>
      </c>
      <c r="H42" s="13"/>
      <c r="I42" s="13" t="s">
        <v>76</v>
      </c>
      <c r="J42" s="13" t="s">
        <v>120</v>
      </c>
      <c r="K42" s="13" t="s">
        <v>31</v>
      </c>
      <c r="L42" s="15" t="s">
        <v>32</v>
      </c>
      <c r="M42" s="25">
        <v>4500</v>
      </c>
      <c r="N42" s="24">
        <v>1150</v>
      </c>
      <c r="O42" s="27" t="s">
        <v>33</v>
      </c>
      <c r="P42" s="26">
        <v>260000</v>
      </c>
      <c r="Q42" s="2"/>
      <c r="R42" s="17">
        <v>1409292</v>
      </c>
      <c r="S42" s="18" t="s">
        <v>124</v>
      </c>
      <c r="T42" s="23">
        <v>46252.708333333001</v>
      </c>
      <c r="U42" s="2"/>
      <c r="V42" s="2"/>
      <c r="W42" s="2"/>
      <c r="X42" s="2"/>
    </row>
    <row r="43" spans="1:24" ht="24.75" customHeight="1">
      <c r="A43" s="2"/>
      <c r="B43" s="22">
        <f t="shared" si="1"/>
        <v>1409293</v>
      </c>
      <c r="C43" s="13" t="s">
        <v>25</v>
      </c>
      <c r="D43" s="13" t="s">
        <v>118</v>
      </c>
      <c r="E43" s="13">
        <v>2022</v>
      </c>
      <c r="F43" s="14">
        <v>7838</v>
      </c>
      <c r="G43" s="13" t="s">
        <v>27</v>
      </c>
      <c r="H43" s="13"/>
      <c r="I43" s="13" t="s">
        <v>76</v>
      </c>
      <c r="J43" s="13" t="s">
        <v>120</v>
      </c>
      <c r="K43" s="13" t="s">
        <v>98</v>
      </c>
      <c r="L43" s="15" t="s">
        <v>121</v>
      </c>
      <c r="M43" s="25">
        <v>4500</v>
      </c>
      <c r="N43" s="24">
        <v>1450</v>
      </c>
      <c r="O43" s="27" t="s">
        <v>33</v>
      </c>
      <c r="P43" s="26">
        <v>700000</v>
      </c>
      <c r="Q43" s="2"/>
      <c r="R43" s="17">
        <v>1409293</v>
      </c>
      <c r="S43" s="18" t="s">
        <v>125</v>
      </c>
      <c r="T43" s="23">
        <v>46252.708333333001</v>
      </c>
      <c r="U43" s="2"/>
      <c r="V43" s="2"/>
      <c r="W43" s="2"/>
      <c r="X43" s="2"/>
    </row>
    <row r="44" spans="1:24" ht="24.75" customHeight="1">
      <c r="A44" s="2"/>
      <c r="B44" s="22">
        <f t="shared" si="1"/>
        <v>1409294</v>
      </c>
      <c r="C44" s="13" t="s">
        <v>25</v>
      </c>
      <c r="D44" s="13" t="s">
        <v>106</v>
      </c>
      <c r="E44" s="13">
        <v>2021</v>
      </c>
      <c r="F44" s="14">
        <v>4077</v>
      </c>
      <c r="G44" s="13" t="s">
        <v>27</v>
      </c>
      <c r="H44" s="13"/>
      <c r="I44" s="13" t="s">
        <v>76</v>
      </c>
      <c r="J44" s="13" t="s">
        <v>30</v>
      </c>
      <c r="K44" s="13" t="s">
        <v>31</v>
      </c>
      <c r="L44" s="15" t="s">
        <v>126</v>
      </c>
      <c r="M44" s="25">
        <v>3000</v>
      </c>
      <c r="N44" s="24">
        <v>2250</v>
      </c>
      <c r="O44" s="27" t="s">
        <v>33</v>
      </c>
      <c r="P44" s="26">
        <v>1400000</v>
      </c>
      <c r="Q44" s="2"/>
      <c r="R44" s="17">
        <v>1409294</v>
      </c>
      <c r="S44" s="18" t="s">
        <v>127</v>
      </c>
      <c r="T44" s="23">
        <v>46252.708333333001</v>
      </c>
      <c r="U44" s="2"/>
      <c r="V44" s="2"/>
      <c r="W44" s="2"/>
      <c r="X44" s="2"/>
    </row>
    <row r="45" spans="1:24" ht="24.75" customHeight="1">
      <c r="A45" s="2"/>
      <c r="B45" s="22">
        <f t="shared" si="1"/>
        <v>1409295</v>
      </c>
      <c r="C45" s="13" t="s">
        <v>25</v>
      </c>
      <c r="D45" s="13" t="s">
        <v>128</v>
      </c>
      <c r="E45" s="13">
        <v>2016</v>
      </c>
      <c r="F45" s="14">
        <v>9586</v>
      </c>
      <c r="G45" s="13" t="s">
        <v>27</v>
      </c>
      <c r="H45" s="13" t="s">
        <v>129</v>
      </c>
      <c r="I45" s="13" t="s">
        <v>76</v>
      </c>
      <c r="J45" s="13" t="s">
        <v>120</v>
      </c>
      <c r="K45" s="13" t="s">
        <v>98</v>
      </c>
      <c r="L45" s="15" t="s">
        <v>121</v>
      </c>
      <c r="M45" s="25">
        <v>5000</v>
      </c>
      <c r="N45" s="24">
        <v>1400</v>
      </c>
      <c r="O45" s="27" t="s">
        <v>33</v>
      </c>
      <c r="P45" s="26">
        <v>360000</v>
      </c>
      <c r="Q45" s="2"/>
      <c r="R45" s="17">
        <v>1409295</v>
      </c>
      <c r="S45" s="18" t="s">
        <v>130</v>
      </c>
      <c r="T45" s="23">
        <v>46252.708333333001</v>
      </c>
      <c r="U45" s="2"/>
      <c r="V45" s="2"/>
      <c r="W45" s="2"/>
      <c r="X45" s="2"/>
    </row>
    <row r="46" spans="1:24" ht="24.75" customHeight="1">
      <c r="A46" s="2"/>
      <c r="B46" s="22">
        <f t="shared" si="1"/>
        <v>1409296</v>
      </c>
      <c r="C46" s="13" t="s">
        <v>25</v>
      </c>
      <c r="D46" s="13" t="s">
        <v>128</v>
      </c>
      <c r="E46" s="13">
        <v>2016</v>
      </c>
      <c r="F46" s="14">
        <v>12115</v>
      </c>
      <c r="G46" s="13" t="s">
        <v>27</v>
      </c>
      <c r="H46" s="13" t="s">
        <v>44</v>
      </c>
      <c r="I46" s="13" t="s">
        <v>76</v>
      </c>
      <c r="J46" s="13" t="s">
        <v>120</v>
      </c>
      <c r="K46" s="13" t="s">
        <v>98</v>
      </c>
      <c r="L46" s="15" t="s">
        <v>121</v>
      </c>
      <c r="M46" s="25">
        <v>5000</v>
      </c>
      <c r="N46" s="24">
        <v>1400</v>
      </c>
      <c r="O46" s="27" t="s">
        <v>33</v>
      </c>
      <c r="P46" s="26">
        <v>340000</v>
      </c>
      <c r="Q46" s="2"/>
      <c r="R46" s="17">
        <v>1409296</v>
      </c>
      <c r="S46" s="18" t="s">
        <v>131</v>
      </c>
      <c r="T46" s="23">
        <v>46252.708333333001</v>
      </c>
      <c r="U46" s="2"/>
      <c r="V46" s="2"/>
      <c r="W46" s="2"/>
      <c r="X46" s="2"/>
    </row>
    <row r="47" spans="1:24" ht="24.75" customHeight="1">
      <c r="A47" s="2"/>
      <c r="B47" s="22">
        <f t="shared" si="1"/>
        <v>1409297</v>
      </c>
      <c r="C47" s="13" t="s">
        <v>25</v>
      </c>
      <c r="D47" s="13" t="s">
        <v>132</v>
      </c>
      <c r="E47" s="13">
        <v>2023</v>
      </c>
      <c r="F47" s="14">
        <v>4529</v>
      </c>
      <c r="G47" s="13" t="s">
        <v>27</v>
      </c>
      <c r="H47" s="13" t="s">
        <v>133</v>
      </c>
      <c r="I47" s="13" t="s">
        <v>76</v>
      </c>
      <c r="J47" s="13" t="s">
        <v>30</v>
      </c>
      <c r="K47" s="13" t="s">
        <v>31</v>
      </c>
      <c r="L47" s="15" t="s">
        <v>36</v>
      </c>
      <c r="M47" s="25">
        <v>4000</v>
      </c>
      <c r="N47" s="24">
        <v>1150</v>
      </c>
      <c r="O47" s="27" t="s">
        <v>33</v>
      </c>
      <c r="P47" s="26">
        <v>1050000</v>
      </c>
      <c r="Q47" s="2"/>
      <c r="R47" s="17">
        <v>1409297</v>
      </c>
      <c r="S47" s="18" t="s">
        <v>134</v>
      </c>
      <c r="T47" s="23">
        <v>46252.708333333001</v>
      </c>
      <c r="U47" s="2"/>
      <c r="V47" s="2"/>
      <c r="W47" s="2"/>
      <c r="X47" s="2"/>
    </row>
    <row r="48" spans="1:24" ht="24.75" customHeight="1">
      <c r="A48" s="2"/>
      <c r="B48" s="22">
        <f t="shared" si="1"/>
        <v>1409298</v>
      </c>
      <c r="C48" s="13" t="s">
        <v>25</v>
      </c>
      <c r="D48" s="13" t="s">
        <v>135</v>
      </c>
      <c r="E48" s="13">
        <v>2002</v>
      </c>
      <c r="F48" s="14">
        <v>2545</v>
      </c>
      <c r="G48" s="13" t="s">
        <v>27</v>
      </c>
      <c r="H48" s="13" t="s">
        <v>136</v>
      </c>
      <c r="I48" s="13" t="s">
        <v>29</v>
      </c>
      <c r="J48" s="13" t="s">
        <v>30</v>
      </c>
      <c r="K48" s="13" t="s">
        <v>31</v>
      </c>
      <c r="L48" s="15" t="s">
        <v>32</v>
      </c>
      <c r="M48" s="25">
        <v>3000</v>
      </c>
      <c r="N48" s="24">
        <v>3000</v>
      </c>
      <c r="O48" s="27" t="s">
        <v>33</v>
      </c>
      <c r="P48" s="26">
        <v>1210000</v>
      </c>
      <c r="Q48" s="2"/>
      <c r="R48" s="17">
        <v>1409298</v>
      </c>
      <c r="S48" s="18" t="s">
        <v>137</v>
      </c>
      <c r="T48" s="23">
        <v>46252.708333333001</v>
      </c>
      <c r="U48" s="2"/>
      <c r="V48" s="2"/>
      <c r="W48" s="2"/>
      <c r="X48" s="2"/>
    </row>
    <row r="49" spans="1:24" ht="24.75" customHeight="1">
      <c r="A49" s="2"/>
      <c r="B49" s="22">
        <f t="shared" si="1"/>
        <v>1409299</v>
      </c>
      <c r="C49" s="13" t="s">
        <v>25</v>
      </c>
      <c r="D49" s="13" t="s">
        <v>138</v>
      </c>
      <c r="E49" s="13">
        <v>1989</v>
      </c>
      <c r="F49" s="14">
        <v>6110</v>
      </c>
      <c r="G49" s="13" t="s">
        <v>27</v>
      </c>
      <c r="H49" s="13" t="s">
        <v>129</v>
      </c>
      <c r="I49" s="13" t="s">
        <v>29</v>
      </c>
      <c r="J49" s="13" t="s">
        <v>30</v>
      </c>
      <c r="K49" s="13" t="s">
        <v>31</v>
      </c>
      <c r="L49" s="15" t="s">
        <v>32</v>
      </c>
      <c r="M49" s="25">
        <v>4500</v>
      </c>
      <c r="N49" s="24">
        <v>1900</v>
      </c>
      <c r="O49" s="27" t="s">
        <v>33</v>
      </c>
      <c r="P49" s="26">
        <v>600000</v>
      </c>
      <c r="Q49" s="2"/>
      <c r="R49" s="17">
        <v>1409299</v>
      </c>
      <c r="S49" s="18" t="s">
        <v>139</v>
      </c>
      <c r="T49" s="23">
        <v>46252.708333333001</v>
      </c>
      <c r="U49" s="2"/>
      <c r="V49" s="2"/>
      <c r="W49" s="2"/>
      <c r="X49" s="2"/>
    </row>
    <row r="50" spans="1:24" ht="24.75" customHeight="1">
      <c r="A50" s="2"/>
      <c r="B50" s="22">
        <f t="shared" si="1"/>
        <v>1409300</v>
      </c>
      <c r="C50" s="13" t="s">
        <v>140</v>
      </c>
      <c r="D50" s="13" t="s">
        <v>141</v>
      </c>
      <c r="E50" s="13">
        <v>2015</v>
      </c>
      <c r="F50" s="14" t="s">
        <v>110</v>
      </c>
      <c r="G50" s="13" t="s">
        <v>27</v>
      </c>
      <c r="H50" s="13" t="s">
        <v>142</v>
      </c>
      <c r="I50" s="13" t="s">
        <v>76</v>
      </c>
      <c r="J50" s="13" t="s">
        <v>30</v>
      </c>
      <c r="K50" s="13" t="s">
        <v>31</v>
      </c>
      <c r="L50" s="15" t="s">
        <v>32</v>
      </c>
      <c r="M50" s="25">
        <v>2500</v>
      </c>
      <c r="N50" s="24">
        <v>500</v>
      </c>
      <c r="O50" s="27" t="s">
        <v>33</v>
      </c>
      <c r="P50" s="26">
        <v>50000</v>
      </c>
      <c r="Q50" s="2"/>
      <c r="R50" s="17">
        <v>1409300</v>
      </c>
      <c r="S50" s="18" t="s">
        <v>143</v>
      </c>
      <c r="T50" s="23">
        <v>46252.708333333001</v>
      </c>
      <c r="U50" s="2"/>
      <c r="V50" s="2"/>
      <c r="W50" s="2"/>
      <c r="X50" s="2"/>
    </row>
    <row r="51" spans="1:24" ht="24.75" customHeight="1">
      <c r="A51" s="2"/>
      <c r="B51" s="22">
        <f t="shared" si="1"/>
        <v>1409301</v>
      </c>
      <c r="C51" s="13" t="s">
        <v>25</v>
      </c>
      <c r="D51" s="13" t="s">
        <v>128</v>
      </c>
      <c r="E51" s="13">
        <v>2016</v>
      </c>
      <c r="F51" s="14">
        <v>14954</v>
      </c>
      <c r="G51" s="13" t="s">
        <v>27</v>
      </c>
      <c r="H51" s="13" t="s">
        <v>144</v>
      </c>
      <c r="I51" s="13" t="s">
        <v>76</v>
      </c>
      <c r="J51" s="13" t="s">
        <v>120</v>
      </c>
      <c r="K51" s="13" t="s">
        <v>98</v>
      </c>
      <c r="L51" s="15" t="s">
        <v>121</v>
      </c>
      <c r="M51" s="25">
        <v>5000</v>
      </c>
      <c r="N51" s="24">
        <v>1400</v>
      </c>
      <c r="O51" s="27" t="s">
        <v>33</v>
      </c>
      <c r="P51" s="26">
        <v>340000</v>
      </c>
      <c r="Q51" s="2"/>
      <c r="R51" s="17">
        <v>1409301</v>
      </c>
      <c r="S51" s="18" t="s">
        <v>145</v>
      </c>
      <c r="T51" s="23">
        <v>46252.708333333001</v>
      </c>
      <c r="U51" s="2"/>
      <c r="V51" s="2"/>
      <c r="W51" s="2"/>
      <c r="X51" s="2"/>
    </row>
    <row r="52" spans="1:24" ht="24.75" customHeight="1">
      <c r="A52" s="2"/>
      <c r="B52" s="22">
        <f t="shared" si="1"/>
        <v>1409302</v>
      </c>
      <c r="C52" s="13" t="s">
        <v>25</v>
      </c>
      <c r="D52" s="13" t="s">
        <v>118</v>
      </c>
      <c r="E52" s="13">
        <v>2022</v>
      </c>
      <c r="F52" s="14">
        <v>12239</v>
      </c>
      <c r="G52" s="13" t="s">
        <v>27</v>
      </c>
      <c r="H52" s="13"/>
      <c r="I52" s="13" t="s">
        <v>76</v>
      </c>
      <c r="J52" s="13" t="s">
        <v>120</v>
      </c>
      <c r="K52" s="13" t="s">
        <v>98</v>
      </c>
      <c r="L52" s="15" t="s">
        <v>121</v>
      </c>
      <c r="M52" s="25">
        <v>4500</v>
      </c>
      <c r="N52" s="24">
        <v>1450</v>
      </c>
      <c r="O52" s="27" t="s">
        <v>33</v>
      </c>
      <c r="P52" s="26">
        <v>700000</v>
      </c>
      <c r="Q52" s="2"/>
      <c r="R52" s="17">
        <v>1409302</v>
      </c>
      <c r="S52" s="18" t="s">
        <v>146</v>
      </c>
      <c r="T52" s="23">
        <v>46252.708333333001</v>
      </c>
      <c r="U52" s="2"/>
      <c r="V52" s="2"/>
      <c r="W52" s="2"/>
      <c r="X52" s="2"/>
    </row>
    <row r="53" spans="1:24" ht="24.75" customHeight="1">
      <c r="A53" s="2"/>
      <c r="B53" s="22">
        <f t="shared" si="1"/>
        <v>1409303</v>
      </c>
      <c r="C53" s="13" t="s">
        <v>25</v>
      </c>
      <c r="D53" s="13" t="s">
        <v>128</v>
      </c>
      <c r="E53" s="13">
        <v>2017</v>
      </c>
      <c r="F53" s="14">
        <v>4489</v>
      </c>
      <c r="G53" s="13" t="s">
        <v>27</v>
      </c>
      <c r="H53" s="13"/>
      <c r="I53" s="13" t="s">
        <v>76</v>
      </c>
      <c r="J53" s="13" t="s">
        <v>120</v>
      </c>
      <c r="K53" s="13" t="s">
        <v>31</v>
      </c>
      <c r="L53" s="15" t="s">
        <v>32</v>
      </c>
      <c r="M53" s="25">
        <v>4000</v>
      </c>
      <c r="N53" s="24">
        <v>1500</v>
      </c>
      <c r="O53" s="27" t="s">
        <v>33</v>
      </c>
      <c r="P53" s="26">
        <v>300000</v>
      </c>
      <c r="Q53" s="2"/>
      <c r="R53" s="17">
        <v>1409303</v>
      </c>
      <c r="S53" s="18" t="s">
        <v>147</v>
      </c>
      <c r="T53" s="23">
        <v>46252.708333333001</v>
      </c>
      <c r="U53" s="2"/>
      <c r="V53" s="2"/>
      <c r="W53" s="2"/>
      <c r="X53" s="2"/>
    </row>
    <row r="54" spans="1:24" ht="24.75" customHeight="1">
      <c r="A54" s="2"/>
      <c r="B54" s="22">
        <f t="shared" si="1"/>
        <v>1409304</v>
      </c>
      <c r="C54" s="13" t="s">
        <v>25</v>
      </c>
      <c r="D54" s="13" t="s">
        <v>128</v>
      </c>
      <c r="E54" s="13">
        <v>2016</v>
      </c>
      <c r="F54" s="14">
        <v>5120</v>
      </c>
      <c r="G54" s="13" t="s">
        <v>27</v>
      </c>
      <c r="H54" s="13"/>
      <c r="I54" s="13" t="s">
        <v>76</v>
      </c>
      <c r="J54" s="13" t="s">
        <v>120</v>
      </c>
      <c r="K54" s="13" t="s">
        <v>31</v>
      </c>
      <c r="L54" s="15" t="s">
        <v>32</v>
      </c>
      <c r="M54" s="25">
        <v>3000</v>
      </c>
      <c r="N54" s="24">
        <v>1500</v>
      </c>
      <c r="O54" s="27" t="s">
        <v>33</v>
      </c>
      <c r="P54" s="26">
        <v>300000</v>
      </c>
      <c r="Q54" s="2"/>
      <c r="R54" s="17">
        <v>1409304</v>
      </c>
      <c r="S54" s="18" t="s">
        <v>148</v>
      </c>
      <c r="T54" s="23">
        <v>46252.708333333001</v>
      </c>
      <c r="U54" s="2"/>
      <c r="V54" s="2"/>
      <c r="W54" s="2"/>
      <c r="X54" s="2"/>
    </row>
    <row r="55" spans="1:24" ht="24.75" customHeight="1">
      <c r="A55" s="2"/>
      <c r="B55" s="22">
        <f t="shared" si="1"/>
        <v>1409305</v>
      </c>
      <c r="C55" s="13" t="s">
        <v>25</v>
      </c>
      <c r="D55" s="13" t="s">
        <v>128</v>
      </c>
      <c r="E55" s="13">
        <v>2016</v>
      </c>
      <c r="F55" s="14">
        <v>812</v>
      </c>
      <c r="G55" s="13" t="s">
        <v>27</v>
      </c>
      <c r="H55" s="13"/>
      <c r="I55" s="13" t="s">
        <v>76</v>
      </c>
      <c r="J55" s="13" t="s">
        <v>120</v>
      </c>
      <c r="K55" s="13" t="s">
        <v>98</v>
      </c>
      <c r="L55" s="15" t="s">
        <v>121</v>
      </c>
      <c r="M55" s="25">
        <v>6000</v>
      </c>
      <c r="N55" s="24">
        <v>900</v>
      </c>
      <c r="O55" s="27" t="s">
        <v>33</v>
      </c>
      <c r="P55" s="26">
        <v>690000</v>
      </c>
      <c r="Q55" s="2"/>
      <c r="R55" s="17">
        <v>1409305</v>
      </c>
      <c r="S55" s="18" t="s">
        <v>149</v>
      </c>
      <c r="T55" s="23">
        <v>46252.708333333001</v>
      </c>
      <c r="U55" s="2"/>
      <c r="V55" s="2"/>
      <c r="W55" s="2"/>
      <c r="X55" s="2"/>
    </row>
    <row r="56" spans="1:24" ht="24.75" customHeight="1">
      <c r="A56" s="2"/>
      <c r="B56" s="22">
        <f t="shared" si="1"/>
        <v>1409306</v>
      </c>
      <c r="C56" s="13" t="s">
        <v>25</v>
      </c>
      <c r="D56" s="13" t="s">
        <v>150</v>
      </c>
      <c r="E56" s="13">
        <v>2022</v>
      </c>
      <c r="F56" s="14">
        <v>1339</v>
      </c>
      <c r="G56" s="13" t="s">
        <v>27</v>
      </c>
      <c r="H56" s="13"/>
      <c r="I56" s="13" t="s">
        <v>76</v>
      </c>
      <c r="J56" s="13" t="s">
        <v>30</v>
      </c>
      <c r="K56" s="13" t="s">
        <v>98</v>
      </c>
      <c r="L56" s="15" t="s">
        <v>121</v>
      </c>
      <c r="M56" s="25">
        <v>4300</v>
      </c>
      <c r="N56" s="24">
        <v>1400</v>
      </c>
      <c r="O56" s="27" t="s">
        <v>33</v>
      </c>
      <c r="P56" s="26">
        <v>1100000</v>
      </c>
      <c r="Q56" s="2"/>
      <c r="R56" s="17">
        <v>1409306</v>
      </c>
      <c r="S56" s="18" t="s">
        <v>151</v>
      </c>
      <c r="T56" s="23">
        <v>46252.708333333001</v>
      </c>
      <c r="U56" s="2"/>
      <c r="V56" s="2"/>
      <c r="W56" s="2"/>
      <c r="X56" s="2"/>
    </row>
    <row r="57" spans="1:24" ht="24.75" customHeight="1">
      <c r="A57" s="2"/>
      <c r="B57" s="22">
        <f t="shared" si="1"/>
        <v>1409307</v>
      </c>
      <c r="C57" s="13" t="s">
        <v>25</v>
      </c>
      <c r="D57" s="13" t="s">
        <v>118</v>
      </c>
      <c r="E57" s="13">
        <v>2023</v>
      </c>
      <c r="F57" s="14">
        <v>9310</v>
      </c>
      <c r="G57" s="13" t="s">
        <v>27</v>
      </c>
      <c r="H57" s="13" t="s">
        <v>152</v>
      </c>
      <c r="I57" s="13" t="s">
        <v>76</v>
      </c>
      <c r="J57" s="13" t="s">
        <v>120</v>
      </c>
      <c r="K57" s="13" t="s">
        <v>31</v>
      </c>
      <c r="L57" s="15" t="s">
        <v>32</v>
      </c>
      <c r="M57" s="25">
        <v>3000</v>
      </c>
      <c r="N57" s="24">
        <v>1500</v>
      </c>
      <c r="O57" s="27" t="s">
        <v>33</v>
      </c>
      <c r="P57" s="26">
        <v>700000</v>
      </c>
      <c r="Q57" s="2"/>
      <c r="R57" s="17">
        <v>1409307</v>
      </c>
      <c r="S57" s="18" t="s">
        <v>153</v>
      </c>
      <c r="T57" s="23">
        <v>46252.708333333001</v>
      </c>
      <c r="U57" s="2"/>
      <c r="V57" s="2"/>
      <c r="W57" s="2"/>
      <c r="X57" s="2"/>
    </row>
    <row r="58" spans="1:24" ht="24.75" customHeight="1">
      <c r="A58" s="2"/>
      <c r="B58" s="22">
        <f t="shared" si="1"/>
        <v>1409308</v>
      </c>
      <c r="C58" s="13" t="s">
        <v>25</v>
      </c>
      <c r="D58" s="13" t="s">
        <v>128</v>
      </c>
      <c r="E58" s="13">
        <v>2015</v>
      </c>
      <c r="F58" s="14">
        <v>4783</v>
      </c>
      <c r="G58" s="13" t="s">
        <v>27</v>
      </c>
      <c r="H58" s="13"/>
      <c r="I58" s="13" t="s">
        <v>76</v>
      </c>
      <c r="J58" s="13" t="s">
        <v>120</v>
      </c>
      <c r="K58" s="13" t="s">
        <v>31</v>
      </c>
      <c r="L58" s="15" t="s">
        <v>32</v>
      </c>
      <c r="M58" s="25">
        <v>3000</v>
      </c>
      <c r="N58" s="24">
        <v>1500</v>
      </c>
      <c r="O58" s="27" t="s">
        <v>33</v>
      </c>
      <c r="P58" s="26">
        <v>245000</v>
      </c>
      <c r="Q58" s="2"/>
      <c r="R58" s="17">
        <v>1409308</v>
      </c>
      <c r="S58" s="18" t="s">
        <v>154</v>
      </c>
      <c r="T58" s="23">
        <v>46252.708333333001</v>
      </c>
      <c r="U58" s="2"/>
      <c r="V58" s="2"/>
      <c r="W58" s="2"/>
      <c r="X58" s="2"/>
    </row>
    <row r="59" spans="1:24" ht="24.75" customHeight="1">
      <c r="A59" s="2"/>
      <c r="B59" s="22">
        <f t="shared" si="1"/>
        <v>1409309</v>
      </c>
      <c r="C59" s="13" t="s">
        <v>25</v>
      </c>
      <c r="D59" s="13" t="s">
        <v>128</v>
      </c>
      <c r="E59" s="13">
        <v>2016</v>
      </c>
      <c r="F59" s="14">
        <v>3275</v>
      </c>
      <c r="G59" s="13" t="s">
        <v>27</v>
      </c>
      <c r="H59" s="13"/>
      <c r="I59" s="13" t="s">
        <v>76</v>
      </c>
      <c r="J59" s="13" t="s">
        <v>120</v>
      </c>
      <c r="K59" s="13" t="s">
        <v>98</v>
      </c>
      <c r="L59" s="15" t="s">
        <v>121</v>
      </c>
      <c r="M59" s="25">
        <v>5000</v>
      </c>
      <c r="N59" s="24">
        <v>1400</v>
      </c>
      <c r="O59" s="27" t="s">
        <v>33</v>
      </c>
      <c r="P59" s="26">
        <v>470000</v>
      </c>
      <c r="Q59" s="2"/>
      <c r="R59" s="17">
        <v>1409309</v>
      </c>
      <c r="S59" s="18" t="s">
        <v>155</v>
      </c>
      <c r="T59" s="23">
        <v>46252.708333333001</v>
      </c>
      <c r="U59" s="2"/>
      <c r="V59" s="2"/>
      <c r="W59" s="2"/>
      <c r="X59" s="2"/>
    </row>
    <row r="60" spans="1:24" ht="24.75" customHeight="1">
      <c r="A60" s="2"/>
      <c r="B60" s="22">
        <f t="shared" si="1"/>
        <v>1409310</v>
      </c>
      <c r="C60" s="13" t="s">
        <v>25</v>
      </c>
      <c r="D60" s="13" t="s">
        <v>128</v>
      </c>
      <c r="E60" s="13">
        <v>2014</v>
      </c>
      <c r="F60" s="14">
        <v>7549</v>
      </c>
      <c r="G60" s="13" t="s">
        <v>27</v>
      </c>
      <c r="H60" s="13"/>
      <c r="I60" s="13" t="s">
        <v>76</v>
      </c>
      <c r="J60" s="13" t="s">
        <v>120</v>
      </c>
      <c r="K60" s="13" t="s">
        <v>98</v>
      </c>
      <c r="L60" s="15" t="s">
        <v>121</v>
      </c>
      <c r="M60" s="25">
        <v>6000</v>
      </c>
      <c r="N60" s="24">
        <v>900</v>
      </c>
      <c r="O60" s="27" t="s">
        <v>33</v>
      </c>
      <c r="P60" s="26">
        <v>580000</v>
      </c>
      <c r="Q60" s="2"/>
      <c r="R60" s="17">
        <v>1409310</v>
      </c>
      <c r="S60" s="18" t="s">
        <v>156</v>
      </c>
      <c r="T60" s="23">
        <v>46252.708333333001</v>
      </c>
      <c r="U60" s="2"/>
      <c r="V60" s="2"/>
      <c r="W60" s="2"/>
      <c r="X60" s="2"/>
    </row>
    <row r="61" spans="1:24" ht="24.75" customHeight="1">
      <c r="A61" s="2"/>
      <c r="B61" s="22">
        <f t="shared" si="1"/>
        <v>1409311</v>
      </c>
      <c r="C61" s="13" t="s">
        <v>25</v>
      </c>
      <c r="D61" s="13" t="s">
        <v>128</v>
      </c>
      <c r="E61" s="13">
        <v>2017</v>
      </c>
      <c r="F61" s="14">
        <v>5836</v>
      </c>
      <c r="G61" s="13" t="s">
        <v>27</v>
      </c>
      <c r="H61" s="13"/>
      <c r="I61" s="13" t="s">
        <v>76</v>
      </c>
      <c r="J61" s="13" t="s">
        <v>120</v>
      </c>
      <c r="K61" s="13" t="s">
        <v>98</v>
      </c>
      <c r="L61" s="15" t="s">
        <v>32</v>
      </c>
      <c r="M61" s="25">
        <v>4300</v>
      </c>
      <c r="N61" s="24">
        <v>1500</v>
      </c>
      <c r="O61" s="27" t="s">
        <v>33</v>
      </c>
      <c r="P61" s="26">
        <v>385000</v>
      </c>
      <c r="Q61" s="2"/>
      <c r="R61" s="17">
        <v>1409311</v>
      </c>
      <c r="S61" s="18" t="s">
        <v>157</v>
      </c>
      <c r="T61" s="23">
        <v>46252.708333333001</v>
      </c>
      <c r="U61" s="2"/>
      <c r="V61" s="2"/>
      <c r="W61" s="2"/>
      <c r="X61" s="2"/>
    </row>
    <row r="62" spans="1:24" ht="24.75" customHeight="1">
      <c r="A62" s="2"/>
      <c r="B62" s="22">
        <f t="shared" si="1"/>
        <v>1409314</v>
      </c>
      <c r="C62" s="13" t="s">
        <v>25</v>
      </c>
      <c r="D62" s="13" t="s">
        <v>128</v>
      </c>
      <c r="E62" s="13">
        <v>2008</v>
      </c>
      <c r="F62" s="14">
        <v>8249</v>
      </c>
      <c r="G62" s="13" t="s">
        <v>27</v>
      </c>
      <c r="H62" s="13"/>
      <c r="I62" s="13" t="s">
        <v>76</v>
      </c>
      <c r="J62" s="13" t="s">
        <v>120</v>
      </c>
      <c r="K62" s="13" t="s">
        <v>98</v>
      </c>
      <c r="L62" s="15" t="s">
        <v>121</v>
      </c>
      <c r="M62" s="25">
        <v>5500</v>
      </c>
      <c r="N62" s="24">
        <v>1150</v>
      </c>
      <c r="O62" s="27" t="s">
        <v>33</v>
      </c>
      <c r="P62" s="26">
        <v>340000</v>
      </c>
      <c r="Q62" s="2"/>
      <c r="R62" s="17">
        <v>1409314</v>
      </c>
      <c r="S62" s="18" t="s">
        <v>158</v>
      </c>
      <c r="T62" s="23">
        <v>46252.708333333001</v>
      </c>
      <c r="U62" s="2"/>
      <c r="V62" s="2"/>
      <c r="W62" s="2"/>
      <c r="X62" s="2"/>
    </row>
    <row r="63" spans="1:24" ht="24.75" customHeight="1">
      <c r="A63" s="2"/>
      <c r="B63" s="22">
        <f t="shared" si="1"/>
        <v>1409315</v>
      </c>
      <c r="C63" s="13" t="s">
        <v>25</v>
      </c>
      <c r="D63" s="13" t="s">
        <v>118</v>
      </c>
      <c r="E63" s="13">
        <v>2022</v>
      </c>
      <c r="F63" s="14">
        <v>5796</v>
      </c>
      <c r="G63" s="13" t="s">
        <v>27</v>
      </c>
      <c r="H63" s="13"/>
      <c r="I63" s="13" t="s">
        <v>76</v>
      </c>
      <c r="J63" s="13" t="s">
        <v>120</v>
      </c>
      <c r="K63" s="13" t="s">
        <v>98</v>
      </c>
      <c r="L63" s="15" t="s">
        <v>121</v>
      </c>
      <c r="M63" s="25">
        <v>4300</v>
      </c>
      <c r="N63" s="24">
        <v>1500</v>
      </c>
      <c r="O63" s="27" t="s">
        <v>33</v>
      </c>
      <c r="P63" s="26">
        <v>700000</v>
      </c>
      <c r="Q63" s="2"/>
      <c r="R63" s="17">
        <v>1409315</v>
      </c>
      <c r="S63" s="18" t="s">
        <v>159</v>
      </c>
      <c r="T63" s="23">
        <v>46252.708333333001</v>
      </c>
      <c r="U63" s="2"/>
      <c r="V63" s="2"/>
      <c r="W63" s="2"/>
      <c r="X63" s="2"/>
    </row>
    <row r="64" spans="1:24" ht="24.75" customHeight="1">
      <c r="A64" s="2"/>
      <c r="B64" s="22">
        <f t="shared" si="1"/>
        <v>1409316</v>
      </c>
      <c r="C64" s="13" t="s">
        <v>25</v>
      </c>
      <c r="D64" s="13" t="s">
        <v>118</v>
      </c>
      <c r="E64" s="13">
        <v>2022</v>
      </c>
      <c r="F64" s="14">
        <v>7415</v>
      </c>
      <c r="G64" s="13" t="s">
        <v>27</v>
      </c>
      <c r="H64" s="13"/>
      <c r="I64" s="13" t="s">
        <v>76</v>
      </c>
      <c r="J64" s="13" t="s">
        <v>120</v>
      </c>
      <c r="K64" s="13" t="s">
        <v>98</v>
      </c>
      <c r="L64" s="15" t="s">
        <v>121</v>
      </c>
      <c r="M64" s="25">
        <v>4300</v>
      </c>
      <c r="N64" s="24">
        <v>1500</v>
      </c>
      <c r="O64" s="27" t="s">
        <v>33</v>
      </c>
      <c r="P64" s="26">
        <v>700000</v>
      </c>
      <c r="Q64" s="2"/>
      <c r="R64" s="17">
        <v>1409316</v>
      </c>
      <c r="S64" s="18" t="s">
        <v>160</v>
      </c>
      <c r="T64" s="23">
        <v>46252.708333333001</v>
      </c>
      <c r="U64" s="2"/>
      <c r="V64" s="2"/>
      <c r="W64" s="2"/>
      <c r="X64" s="2"/>
    </row>
    <row r="65" spans="1:24" ht="24.75" customHeight="1">
      <c r="A65" s="2"/>
      <c r="B65" s="22">
        <f t="shared" si="1"/>
        <v>1409317</v>
      </c>
      <c r="C65" s="13" t="s">
        <v>25</v>
      </c>
      <c r="D65" s="13" t="s">
        <v>118</v>
      </c>
      <c r="E65" s="13">
        <v>2022</v>
      </c>
      <c r="F65" s="14">
        <v>7500</v>
      </c>
      <c r="G65" s="13" t="s">
        <v>27</v>
      </c>
      <c r="H65" s="13"/>
      <c r="I65" s="13" t="s">
        <v>76</v>
      </c>
      <c r="J65" s="13" t="s">
        <v>120</v>
      </c>
      <c r="K65" s="13" t="s">
        <v>98</v>
      </c>
      <c r="L65" s="15" t="s">
        <v>121</v>
      </c>
      <c r="M65" s="25">
        <v>4300</v>
      </c>
      <c r="N65" s="24">
        <v>1500</v>
      </c>
      <c r="O65" s="27" t="s">
        <v>33</v>
      </c>
      <c r="P65" s="26">
        <v>700000</v>
      </c>
      <c r="Q65" s="2"/>
      <c r="R65" s="17">
        <v>1409317</v>
      </c>
      <c r="S65" s="18" t="s">
        <v>161</v>
      </c>
      <c r="T65" s="23">
        <v>46252.708333333001</v>
      </c>
      <c r="U65" s="2"/>
      <c r="V65" s="2"/>
      <c r="W65" s="2"/>
      <c r="X65" s="2"/>
    </row>
    <row r="66" spans="1:24" ht="24.75" customHeight="1">
      <c r="A66" s="2"/>
      <c r="B66" s="22">
        <f t="shared" si="1"/>
        <v>1409318</v>
      </c>
      <c r="C66" s="13" t="s">
        <v>25</v>
      </c>
      <c r="D66" s="13" t="s">
        <v>118</v>
      </c>
      <c r="E66" s="13">
        <v>2022</v>
      </c>
      <c r="F66" s="14">
        <v>6046</v>
      </c>
      <c r="G66" s="13" t="s">
        <v>27</v>
      </c>
      <c r="H66" s="13"/>
      <c r="I66" s="13" t="s">
        <v>76</v>
      </c>
      <c r="J66" s="13" t="s">
        <v>120</v>
      </c>
      <c r="K66" s="13" t="s">
        <v>98</v>
      </c>
      <c r="L66" s="15" t="s">
        <v>121</v>
      </c>
      <c r="M66" s="25">
        <v>4300</v>
      </c>
      <c r="N66" s="24">
        <v>1500</v>
      </c>
      <c r="O66" s="27" t="s">
        <v>33</v>
      </c>
      <c r="P66" s="26">
        <v>700000</v>
      </c>
      <c r="Q66" s="2"/>
      <c r="R66" s="17">
        <v>1409318</v>
      </c>
      <c r="S66" s="18" t="s">
        <v>162</v>
      </c>
      <c r="T66" s="23">
        <v>46252.708333333001</v>
      </c>
      <c r="U66" s="2"/>
      <c r="V66" s="2"/>
      <c r="W66" s="2"/>
      <c r="X66" s="2"/>
    </row>
    <row r="67" spans="1:24" ht="24.75" customHeight="1">
      <c r="A67" s="2"/>
      <c r="B67" s="22">
        <f t="shared" si="1"/>
        <v>1409320</v>
      </c>
      <c r="C67" s="13" t="s">
        <v>25</v>
      </c>
      <c r="D67" s="13" t="s">
        <v>163</v>
      </c>
      <c r="E67" s="13">
        <v>2018</v>
      </c>
      <c r="F67" s="14">
        <v>6087</v>
      </c>
      <c r="G67" s="13" t="s">
        <v>27</v>
      </c>
      <c r="H67" s="13"/>
      <c r="I67" s="13" t="s">
        <v>76</v>
      </c>
      <c r="J67" s="13" t="s">
        <v>30</v>
      </c>
      <c r="K67" s="13" t="s">
        <v>31</v>
      </c>
      <c r="L67" s="15" t="s">
        <v>51</v>
      </c>
      <c r="M67" s="25">
        <v>4000</v>
      </c>
      <c r="N67" s="24">
        <v>1500</v>
      </c>
      <c r="O67" s="27" t="s">
        <v>33</v>
      </c>
      <c r="P67" s="26">
        <v>750000</v>
      </c>
      <c r="Q67" s="2"/>
      <c r="R67" s="17">
        <v>1409320</v>
      </c>
      <c r="S67" s="18" t="s">
        <v>164</v>
      </c>
      <c r="T67" s="23">
        <v>46252.708333333001</v>
      </c>
      <c r="U67" s="2"/>
      <c r="V67" s="2"/>
      <c r="W67" s="2"/>
      <c r="X67" s="2"/>
    </row>
    <row r="68" spans="1:24" ht="24.75" customHeight="1">
      <c r="A68" s="2"/>
      <c r="B68" s="22">
        <f t="shared" si="1"/>
        <v>1409321</v>
      </c>
      <c r="C68" s="13" t="s">
        <v>25</v>
      </c>
      <c r="D68" s="13" t="s">
        <v>163</v>
      </c>
      <c r="E68" s="13">
        <v>2018</v>
      </c>
      <c r="F68" s="14">
        <v>7253</v>
      </c>
      <c r="G68" s="13" t="s">
        <v>27</v>
      </c>
      <c r="H68" s="13"/>
      <c r="I68" s="13" t="s">
        <v>76</v>
      </c>
      <c r="J68" s="13" t="s">
        <v>30</v>
      </c>
      <c r="K68" s="13" t="s">
        <v>31</v>
      </c>
      <c r="L68" s="15" t="s">
        <v>51</v>
      </c>
      <c r="M68" s="25">
        <v>3000</v>
      </c>
      <c r="N68" s="24">
        <v>1500</v>
      </c>
      <c r="O68" s="27" t="s">
        <v>33</v>
      </c>
      <c r="P68" s="26">
        <v>750000</v>
      </c>
      <c r="Q68" s="2"/>
      <c r="R68" s="17">
        <v>1409321</v>
      </c>
      <c r="S68" s="18" t="s">
        <v>165</v>
      </c>
      <c r="T68" s="23">
        <v>46252.708333333001</v>
      </c>
      <c r="U68" s="2"/>
      <c r="V68" s="2"/>
      <c r="W68" s="2"/>
      <c r="X68" s="2"/>
    </row>
    <row r="69" spans="1:24" ht="24.75" customHeight="1">
      <c r="A69" s="2"/>
      <c r="B69" s="22">
        <f t="shared" si="1"/>
        <v>1409322</v>
      </c>
      <c r="C69" s="13" t="s">
        <v>25</v>
      </c>
      <c r="D69" s="13" t="s">
        <v>163</v>
      </c>
      <c r="E69" s="13">
        <v>2018</v>
      </c>
      <c r="F69" s="14">
        <v>7764</v>
      </c>
      <c r="G69" s="13" t="s">
        <v>27</v>
      </c>
      <c r="H69" s="13"/>
      <c r="I69" s="13" t="s">
        <v>76</v>
      </c>
      <c r="J69" s="13" t="s">
        <v>30</v>
      </c>
      <c r="K69" s="13" t="s">
        <v>31</v>
      </c>
      <c r="L69" s="15" t="s">
        <v>51</v>
      </c>
      <c r="M69" s="25">
        <v>4000</v>
      </c>
      <c r="N69" s="24">
        <v>1500</v>
      </c>
      <c r="O69" s="27" t="s">
        <v>33</v>
      </c>
      <c r="P69" s="26">
        <v>750000</v>
      </c>
      <c r="Q69" s="2"/>
      <c r="R69" s="17">
        <v>1409322</v>
      </c>
      <c r="S69" s="18" t="s">
        <v>166</v>
      </c>
      <c r="T69" s="23">
        <v>46252.708333333001</v>
      </c>
      <c r="U69" s="2"/>
      <c r="V69" s="2"/>
      <c r="W69" s="2"/>
      <c r="X69" s="2"/>
    </row>
    <row r="70" spans="1:24" ht="24.75" customHeight="1">
      <c r="A70" s="2"/>
      <c r="B70" s="22">
        <f t="shared" ref="B70:B85" si="2">HYPERLINK(S70,R70)</f>
        <v>1409323</v>
      </c>
      <c r="C70" s="13" t="s">
        <v>25</v>
      </c>
      <c r="D70" s="13" t="s">
        <v>163</v>
      </c>
      <c r="E70" s="13">
        <v>2017</v>
      </c>
      <c r="F70" s="14">
        <v>6945</v>
      </c>
      <c r="G70" s="13" t="s">
        <v>27</v>
      </c>
      <c r="H70" s="13"/>
      <c r="I70" s="13" t="s">
        <v>76</v>
      </c>
      <c r="J70" s="13" t="s">
        <v>30</v>
      </c>
      <c r="K70" s="13" t="s">
        <v>31</v>
      </c>
      <c r="L70" s="15" t="s">
        <v>51</v>
      </c>
      <c r="M70" s="25">
        <v>3000</v>
      </c>
      <c r="N70" s="24">
        <v>1500</v>
      </c>
      <c r="O70" s="27" t="s">
        <v>33</v>
      </c>
      <c r="P70" s="26">
        <v>750000</v>
      </c>
      <c r="Q70" s="2"/>
      <c r="R70" s="17">
        <v>1409323</v>
      </c>
      <c r="S70" s="18" t="s">
        <v>167</v>
      </c>
      <c r="T70" s="23">
        <v>46252.708333333001</v>
      </c>
      <c r="U70" s="2"/>
      <c r="V70" s="2"/>
      <c r="W70" s="2"/>
      <c r="X70" s="2"/>
    </row>
    <row r="71" spans="1:24" ht="24.75" customHeight="1">
      <c r="A71" s="2"/>
      <c r="B71" s="22">
        <f t="shared" si="2"/>
        <v>1409324</v>
      </c>
      <c r="C71" s="13" t="s">
        <v>25</v>
      </c>
      <c r="D71" s="13" t="s">
        <v>163</v>
      </c>
      <c r="E71" s="13">
        <v>2018</v>
      </c>
      <c r="F71" s="14">
        <v>6471</v>
      </c>
      <c r="G71" s="13" t="s">
        <v>27</v>
      </c>
      <c r="H71" s="13"/>
      <c r="I71" s="13" t="s">
        <v>76</v>
      </c>
      <c r="J71" s="13" t="s">
        <v>30</v>
      </c>
      <c r="K71" s="13" t="s">
        <v>31</v>
      </c>
      <c r="L71" s="15" t="s">
        <v>51</v>
      </c>
      <c r="M71" s="25">
        <v>3000</v>
      </c>
      <c r="N71" s="24">
        <v>1500</v>
      </c>
      <c r="O71" s="27" t="s">
        <v>33</v>
      </c>
      <c r="P71" s="26">
        <v>750000</v>
      </c>
      <c r="Q71" s="2"/>
      <c r="R71" s="17">
        <v>1409324</v>
      </c>
      <c r="S71" s="18" t="s">
        <v>168</v>
      </c>
      <c r="T71" s="23">
        <v>46252.708333333001</v>
      </c>
      <c r="U71" s="2"/>
      <c r="V71" s="2"/>
      <c r="W71" s="2"/>
      <c r="X71" s="2"/>
    </row>
    <row r="72" spans="1:24" ht="24.75" customHeight="1">
      <c r="A72" s="2"/>
      <c r="B72" s="22">
        <f t="shared" si="2"/>
        <v>1409326</v>
      </c>
      <c r="C72" s="13" t="s">
        <v>25</v>
      </c>
      <c r="D72" s="13" t="s">
        <v>132</v>
      </c>
      <c r="E72" s="13">
        <v>2021</v>
      </c>
      <c r="F72" s="14">
        <v>6448</v>
      </c>
      <c r="G72" s="13" t="s">
        <v>27</v>
      </c>
      <c r="H72" s="13"/>
      <c r="I72" s="13" t="s">
        <v>76</v>
      </c>
      <c r="J72" s="13" t="s">
        <v>30</v>
      </c>
      <c r="K72" s="13" t="s">
        <v>31</v>
      </c>
      <c r="L72" s="15" t="s">
        <v>51</v>
      </c>
      <c r="M72" s="25">
        <v>4000</v>
      </c>
      <c r="N72" s="24">
        <v>1750</v>
      </c>
      <c r="O72" s="27" t="s">
        <v>33</v>
      </c>
      <c r="P72" s="26">
        <v>1050000</v>
      </c>
      <c r="Q72" s="2"/>
      <c r="R72" s="17">
        <v>1409326</v>
      </c>
      <c r="S72" s="18" t="s">
        <v>169</v>
      </c>
      <c r="T72" s="23">
        <v>46252.708333333001</v>
      </c>
      <c r="U72" s="2"/>
      <c r="V72" s="2"/>
      <c r="W72" s="2"/>
      <c r="X72" s="2"/>
    </row>
    <row r="73" spans="1:24" ht="24.75" customHeight="1">
      <c r="A73" s="2"/>
      <c r="B73" s="22">
        <f t="shared" si="2"/>
        <v>1409327</v>
      </c>
      <c r="C73" s="13" t="s">
        <v>25</v>
      </c>
      <c r="D73" s="13" t="s">
        <v>163</v>
      </c>
      <c r="E73" s="13">
        <v>2018</v>
      </c>
      <c r="F73" s="14">
        <v>6501</v>
      </c>
      <c r="G73" s="13" t="s">
        <v>27</v>
      </c>
      <c r="H73" s="13"/>
      <c r="I73" s="13" t="s">
        <v>76</v>
      </c>
      <c r="J73" s="13" t="s">
        <v>30</v>
      </c>
      <c r="K73" s="13" t="s">
        <v>31</v>
      </c>
      <c r="L73" s="15" t="s">
        <v>51</v>
      </c>
      <c r="M73" s="25">
        <v>4000</v>
      </c>
      <c r="N73" s="24">
        <v>1500</v>
      </c>
      <c r="O73" s="27" t="s">
        <v>33</v>
      </c>
      <c r="P73" s="26">
        <v>750000</v>
      </c>
      <c r="Q73" s="2"/>
      <c r="R73" s="17">
        <v>1409327</v>
      </c>
      <c r="S73" s="18" t="s">
        <v>170</v>
      </c>
      <c r="T73" s="23">
        <v>46252.708333333001</v>
      </c>
      <c r="U73" s="2"/>
      <c r="V73" s="2"/>
      <c r="W73" s="2"/>
      <c r="X73" s="2"/>
    </row>
    <row r="74" spans="1:24" ht="24.75" customHeight="1">
      <c r="A74" s="2"/>
      <c r="B74" s="22">
        <f t="shared" si="2"/>
        <v>1409328</v>
      </c>
      <c r="C74" s="13" t="s">
        <v>25</v>
      </c>
      <c r="D74" s="13" t="s">
        <v>150</v>
      </c>
      <c r="E74" s="13">
        <v>2018</v>
      </c>
      <c r="F74" s="14">
        <v>5132</v>
      </c>
      <c r="G74" s="13" t="s">
        <v>27</v>
      </c>
      <c r="H74" s="13"/>
      <c r="I74" s="13" t="s">
        <v>76</v>
      </c>
      <c r="J74" s="13" t="s">
        <v>30</v>
      </c>
      <c r="K74" s="13" t="s">
        <v>31</v>
      </c>
      <c r="L74" s="15" t="s">
        <v>32</v>
      </c>
      <c r="M74" s="25">
        <v>3000</v>
      </c>
      <c r="N74" s="24">
        <v>1500</v>
      </c>
      <c r="O74" s="27" t="s">
        <v>33</v>
      </c>
      <c r="P74" s="26">
        <v>700000</v>
      </c>
      <c r="Q74" s="2"/>
      <c r="R74" s="17">
        <v>1409328</v>
      </c>
      <c r="S74" s="18" t="s">
        <v>171</v>
      </c>
      <c r="T74" s="23">
        <v>46252.708333333001</v>
      </c>
      <c r="U74" s="2"/>
      <c r="V74" s="2"/>
      <c r="W74" s="2"/>
      <c r="X74" s="2"/>
    </row>
    <row r="75" spans="1:24" ht="24.75" customHeight="1">
      <c r="A75" s="2"/>
      <c r="B75" s="22">
        <f t="shared" si="2"/>
        <v>1409329</v>
      </c>
      <c r="C75" s="13" t="s">
        <v>25</v>
      </c>
      <c r="D75" s="13" t="s">
        <v>163</v>
      </c>
      <c r="E75" s="13">
        <v>2021</v>
      </c>
      <c r="F75" s="14">
        <v>6700</v>
      </c>
      <c r="G75" s="13" t="s">
        <v>27</v>
      </c>
      <c r="H75" s="13"/>
      <c r="I75" s="13" t="s">
        <v>76</v>
      </c>
      <c r="J75" s="13" t="s">
        <v>30</v>
      </c>
      <c r="K75" s="13" t="s">
        <v>31</v>
      </c>
      <c r="L75" s="15" t="s">
        <v>51</v>
      </c>
      <c r="M75" s="25">
        <v>4000</v>
      </c>
      <c r="N75" s="24">
        <v>1500</v>
      </c>
      <c r="O75" s="27" t="s">
        <v>33</v>
      </c>
      <c r="P75" s="26">
        <v>834000</v>
      </c>
      <c r="Q75" s="2"/>
      <c r="R75" s="17">
        <v>1409329</v>
      </c>
      <c r="S75" s="18" t="s">
        <v>172</v>
      </c>
      <c r="T75" s="23">
        <v>46252.708333333001</v>
      </c>
      <c r="U75" s="2"/>
      <c r="V75" s="2"/>
      <c r="W75" s="2"/>
      <c r="X75" s="2"/>
    </row>
    <row r="76" spans="1:24" ht="24.75" customHeight="1">
      <c r="A76" s="2"/>
      <c r="B76" s="22">
        <f t="shared" si="2"/>
        <v>1409330</v>
      </c>
      <c r="C76" s="13" t="s">
        <v>25</v>
      </c>
      <c r="D76" s="13" t="s">
        <v>163</v>
      </c>
      <c r="E76" s="13">
        <v>2019</v>
      </c>
      <c r="F76" s="14">
        <v>7030</v>
      </c>
      <c r="G76" s="13" t="s">
        <v>27</v>
      </c>
      <c r="H76" s="13"/>
      <c r="I76" s="13" t="s">
        <v>76</v>
      </c>
      <c r="J76" s="13" t="s">
        <v>30</v>
      </c>
      <c r="K76" s="13" t="s">
        <v>31</v>
      </c>
      <c r="L76" s="15" t="s">
        <v>32</v>
      </c>
      <c r="M76" s="25">
        <v>3000</v>
      </c>
      <c r="N76" s="24">
        <v>1500</v>
      </c>
      <c r="O76" s="27" t="s">
        <v>33</v>
      </c>
      <c r="P76" s="26">
        <v>750000</v>
      </c>
      <c r="Q76" s="2"/>
      <c r="R76" s="17">
        <v>1409330</v>
      </c>
      <c r="S76" s="18" t="s">
        <v>173</v>
      </c>
      <c r="T76" s="23">
        <v>46252.708333333001</v>
      </c>
      <c r="U76" s="2"/>
      <c r="V76" s="2"/>
      <c r="W76" s="2"/>
      <c r="X76" s="2"/>
    </row>
    <row r="77" spans="1:24" ht="24.75" customHeight="1">
      <c r="A77" s="2"/>
      <c r="B77" s="22">
        <f t="shared" si="2"/>
        <v>1409331</v>
      </c>
      <c r="C77" s="13" t="s">
        <v>25</v>
      </c>
      <c r="D77" s="13" t="s">
        <v>106</v>
      </c>
      <c r="E77" s="13">
        <v>2018</v>
      </c>
      <c r="F77" s="14">
        <v>15616</v>
      </c>
      <c r="G77" s="13" t="s">
        <v>27</v>
      </c>
      <c r="H77" s="13"/>
      <c r="I77" s="13" t="s">
        <v>76</v>
      </c>
      <c r="J77" s="13" t="s">
        <v>30</v>
      </c>
      <c r="K77" s="13" t="s">
        <v>31</v>
      </c>
      <c r="L77" s="15" t="s">
        <v>32</v>
      </c>
      <c r="M77" s="25">
        <v>3000</v>
      </c>
      <c r="N77" s="24">
        <v>2400</v>
      </c>
      <c r="O77" s="27" t="s">
        <v>33</v>
      </c>
      <c r="P77" s="26">
        <v>1280000</v>
      </c>
      <c r="Q77" s="2"/>
      <c r="R77" s="17">
        <v>1409331</v>
      </c>
      <c r="S77" s="18" t="s">
        <v>174</v>
      </c>
      <c r="T77" s="23">
        <v>46252.708333333001</v>
      </c>
      <c r="U77" s="2"/>
      <c r="V77" s="2"/>
      <c r="W77" s="2"/>
      <c r="X77" s="2"/>
    </row>
    <row r="78" spans="1:24" ht="24.75" customHeight="1">
      <c r="A78" s="2"/>
      <c r="B78" s="22">
        <f t="shared" si="2"/>
        <v>1409332</v>
      </c>
      <c r="C78" s="13" t="s">
        <v>25</v>
      </c>
      <c r="D78" s="13" t="s">
        <v>163</v>
      </c>
      <c r="E78" s="13">
        <v>2018</v>
      </c>
      <c r="F78" s="14">
        <v>6899</v>
      </c>
      <c r="G78" s="13" t="s">
        <v>27</v>
      </c>
      <c r="H78" s="13"/>
      <c r="I78" s="13" t="s">
        <v>76</v>
      </c>
      <c r="J78" s="13" t="s">
        <v>30</v>
      </c>
      <c r="K78" s="13" t="s">
        <v>31</v>
      </c>
      <c r="L78" s="15" t="s">
        <v>51</v>
      </c>
      <c r="M78" s="25">
        <v>4000</v>
      </c>
      <c r="N78" s="24">
        <v>1500</v>
      </c>
      <c r="O78" s="27" t="s">
        <v>33</v>
      </c>
      <c r="P78" s="26">
        <v>750000</v>
      </c>
      <c r="Q78" s="2"/>
      <c r="R78" s="17">
        <v>1409332</v>
      </c>
      <c r="S78" s="18" t="s">
        <v>175</v>
      </c>
      <c r="T78" s="23">
        <v>46252.708333333001</v>
      </c>
      <c r="U78" s="2"/>
      <c r="V78" s="2"/>
      <c r="W78" s="2"/>
      <c r="X78" s="2"/>
    </row>
    <row r="79" spans="1:24" ht="24.75" customHeight="1">
      <c r="A79" s="2"/>
      <c r="B79" s="22">
        <f t="shared" si="2"/>
        <v>1409333</v>
      </c>
      <c r="C79" s="13" t="s">
        <v>25</v>
      </c>
      <c r="D79" s="13" t="s">
        <v>163</v>
      </c>
      <c r="E79" s="13">
        <v>2018</v>
      </c>
      <c r="F79" s="14">
        <v>3463</v>
      </c>
      <c r="G79" s="13" t="s">
        <v>27</v>
      </c>
      <c r="H79" s="13" t="s">
        <v>176</v>
      </c>
      <c r="I79" s="13" t="s">
        <v>76</v>
      </c>
      <c r="J79" s="13" t="s">
        <v>30</v>
      </c>
      <c r="K79" s="13" t="s">
        <v>31</v>
      </c>
      <c r="L79" s="15" t="s">
        <v>51</v>
      </c>
      <c r="M79" s="25">
        <v>3000</v>
      </c>
      <c r="N79" s="24">
        <v>1500</v>
      </c>
      <c r="O79" s="27" t="s">
        <v>33</v>
      </c>
      <c r="P79" s="26">
        <v>750000</v>
      </c>
      <c r="Q79" s="2"/>
      <c r="R79" s="17">
        <v>1409333</v>
      </c>
      <c r="S79" s="18" t="s">
        <v>177</v>
      </c>
      <c r="T79" s="23">
        <v>46252.708333333001</v>
      </c>
      <c r="U79" s="2"/>
      <c r="V79" s="2"/>
      <c r="W79" s="2"/>
      <c r="X79" s="2"/>
    </row>
    <row r="80" spans="1:24" ht="24.75" customHeight="1">
      <c r="A80" s="2"/>
      <c r="B80" s="22">
        <f t="shared" si="2"/>
        <v>1409334</v>
      </c>
      <c r="C80" s="13" t="s">
        <v>25</v>
      </c>
      <c r="D80" s="13" t="s">
        <v>163</v>
      </c>
      <c r="E80" s="13">
        <v>2020</v>
      </c>
      <c r="F80" s="14">
        <v>6049</v>
      </c>
      <c r="G80" s="13" t="s">
        <v>27</v>
      </c>
      <c r="H80" s="13"/>
      <c r="I80" s="13" t="s">
        <v>76</v>
      </c>
      <c r="J80" s="13" t="s">
        <v>30</v>
      </c>
      <c r="K80" s="13" t="s">
        <v>31</v>
      </c>
      <c r="L80" s="15" t="s">
        <v>32</v>
      </c>
      <c r="M80" s="25">
        <v>3000</v>
      </c>
      <c r="N80" s="24">
        <v>1500</v>
      </c>
      <c r="O80" s="27" t="s">
        <v>33</v>
      </c>
      <c r="P80" s="26">
        <v>750000</v>
      </c>
      <c r="Q80" s="2"/>
      <c r="R80" s="17">
        <v>1409334</v>
      </c>
      <c r="S80" s="18" t="s">
        <v>178</v>
      </c>
      <c r="T80" s="23">
        <v>46252.708333333001</v>
      </c>
      <c r="U80" s="2"/>
      <c r="V80" s="2"/>
      <c r="W80" s="2"/>
      <c r="X80" s="2"/>
    </row>
    <row r="81" spans="1:24" ht="24.75" customHeight="1">
      <c r="A81" s="2"/>
      <c r="B81" s="22">
        <f t="shared" si="2"/>
        <v>1409335</v>
      </c>
      <c r="C81" s="13" t="s">
        <v>25</v>
      </c>
      <c r="D81" s="13" t="s">
        <v>179</v>
      </c>
      <c r="E81" s="13">
        <v>2016</v>
      </c>
      <c r="F81" s="14">
        <v>1746</v>
      </c>
      <c r="G81" s="13" t="s">
        <v>111</v>
      </c>
      <c r="H81" s="13" t="s">
        <v>180</v>
      </c>
      <c r="I81" s="13" t="s">
        <v>76</v>
      </c>
      <c r="J81" s="13" t="s">
        <v>181</v>
      </c>
      <c r="K81" s="13" t="s">
        <v>182</v>
      </c>
      <c r="L81" s="15" t="s">
        <v>182</v>
      </c>
      <c r="M81" s="25" t="s">
        <v>110</v>
      </c>
      <c r="N81" s="24" t="s">
        <v>110</v>
      </c>
      <c r="O81" s="27" t="s">
        <v>33</v>
      </c>
      <c r="P81" s="26">
        <v>50000</v>
      </c>
      <c r="Q81" s="2"/>
      <c r="R81" s="17">
        <v>1409335</v>
      </c>
      <c r="S81" s="18" t="s">
        <v>183</v>
      </c>
      <c r="T81" s="23">
        <v>46252.708333333001</v>
      </c>
      <c r="U81" s="2"/>
      <c r="V81" s="2"/>
      <c r="W81" s="2"/>
      <c r="X81" s="2"/>
    </row>
    <row r="82" spans="1:24" ht="24.75" customHeight="1">
      <c r="A82" s="2"/>
      <c r="B82" s="22">
        <f t="shared" si="2"/>
        <v>1409336</v>
      </c>
      <c r="C82" s="13" t="s">
        <v>90</v>
      </c>
      <c r="D82" s="13" t="s">
        <v>184</v>
      </c>
      <c r="E82" s="13">
        <v>2008</v>
      </c>
      <c r="F82" s="14">
        <v>525</v>
      </c>
      <c r="G82" s="13" t="s">
        <v>27</v>
      </c>
      <c r="H82" s="13"/>
      <c r="I82" s="13" t="s">
        <v>54</v>
      </c>
      <c r="J82" s="13" t="s">
        <v>30</v>
      </c>
      <c r="K82" s="13" t="s">
        <v>31</v>
      </c>
      <c r="L82" s="15" t="s">
        <v>32</v>
      </c>
      <c r="M82" s="25">
        <v>3000</v>
      </c>
      <c r="N82" s="24">
        <v>1500</v>
      </c>
      <c r="O82" s="27" t="s">
        <v>33</v>
      </c>
      <c r="P82" s="26">
        <v>250000</v>
      </c>
      <c r="Q82" s="2"/>
      <c r="R82" s="17">
        <v>1409336</v>
      </c>
      <c r="S82" s="18" t="s">
        <v>185</v>
      </c>
      <c r="T82" s="23">
        <v>46252.708333333001</v>
      </c>
      <c r="U82" s="2"/>
      <c r="V82" s="2"/>
      <c r="W82" s="2"/>
      <c r="X82" s="2"/>
    </row>
    <row r="83" spans="1:24" ht="24.75" customHeight="1">
      <c r="A83" s="2"/>
      <c r="B83" s="22">
        <f t="shared" si="2"/>
        <v>1409337</v>
      </c>
      <c r="C83" s="13" t="s">
        <v>25</v>
      </c>
      <c r="D83" s="13" t="s">
        <v>186</v>
      </c>
      <c r="E83" s="13">
        <v>2001</v>
      </c>
      <c r="F83" s="14">
        <v>9168</v>
      </c>
      <c r="G83" s="13" t="s">
        <v>27</v>
      </c>
      <c r="H83" s="13" t="s">
        <v>187</v>
      </c>
      <c r="I83" s="13" t="s">
        <v>54</v>
      </c>
      <c r="J83" s="13" t="s">
        <v>30</v>
      </c>
      <c r="K83" s="13" t="s">
        <v>31</v>
      </c>
      <c r="L83" s="15" t="s">
        <v>32</v>
      </c>
      <c r="M83" s="25">
        <v>3000</v>
      </c>
      <c r="N83" s="24">
        <v>1500</v>
      </c>
      <c r="O83" s="27" t="s">
        <v>33</v>
      </c>
      <c r="P83" s="26">
        <v>400000</v>
      </c>
      <c r="Q83" s="2"/>
      <c r="R83" s="17">
        <v>1409337</v>
      </c>
      <c r="S83" s="18" t="s">
        <v>188</v>
      </c>
      <c r="T83" s="23">
        <v>46252.708333333001</v>
      </c>
      <c r="U83" s="2"/>
      <c r="V83" s="2"/>
      <c r="W83" s="2"/>
      <c r="X83" s="2"/>
    </row>
    <row r="84" spans="1:24" ht="24.75" customHeight="1">
      <c r="A84" s="2"/>
      <c r="B84" s="22">
        <f t="shared" si="2"/>
        <v>1409340</v>
      </c>
      <c r="C84" s="13" t="s">
        <v>25</v>
      </c>
      <c r="D84" s="13" t="s">
        <v>189</v>
      </c>
      <c r="E84" s="13">
        <v>2008</v>
      </c>
      <c r="F84" s="14">
        <v>2603</v>
      </c>
      <c r="G84" s="13" t="s">
        <v>27</v>
      </c>
      <c r="H84" s="13" t="s">
        <v>190</v>
      </c>
      <c r="I84" s="13" t="s">
        <v>29</v>
      </c>
      <c r="J84" s="13" t="s">
        <v>30</v>
      </c>
      <c r="K84" s="13" t="s">
        <v>31</v>
      </c>
      <c r="L84" s="15" t="s">
        <v>51</v>
      </c>
      <c r="M84" s="25">
        <v>3000</v>
      </c>
      <c r="N84" s="24">
        <v>1500</v>
      </c>
      <c r="O84" s="27" t="s">
        <v>33</v>
      </c>
      <c r="P84" s="26">
        <v>850000</v>
      </c>
      <c r="Q84" s="2"/>
      <c r="R84" s="17">
        <v>1409340</v>
      </c>
      <c r="S84" s="18" t="s">
        <v>191</v>
      </c>
      <c r="T84" s="23">
        <v>46252.708333333001</v>
      </c>
      <c r="U84" s="2"/>
      <c r="V84" s="2"/>
      <c r="W84" s="2"/>
      <c r="X84" s="2"/>
    </row>
    <row r="85" spans="1:24" ht="24.75" customHeight="1">
      <c r="A85" s="2"/>
      <c r="B85" s="22">
        <f t="shared" si="2"/>
        <v>1409341</v>
      </c>
      <c r="C85" s="13" t="s">
        <v>192</v>
      </c>
      <c r="D85" s="13" t="s">
        <v>193</v>
      </c>
      <c r="E85" s="13">
        <v>2013</v>
      </c>
      <c r="F85" s="14">
        <v>26105</v>
      </c>
      <c r="G85" s="13" t="s">
        <v>27</v>
      </c>
      <c r="H85" s="13" t="s">
        <v>194</v>
      </c>
      <c r="I85" s="13" t="s">
        <v>76</v>
      </c>
      <c r="J85" s="13" t="s">
        <v>120</v>
      </c>
      <c r="K85" s="13" t="s">
        <v>31</v>
      </c>
      <c r="L85" s="15" t="s">
        <v>32</v>
      </c>
      <c r="M85" s="25">
        <v>4000</v>
      </c>
      <c r="N85" s="24">
        <v>2500</v>
      </c>
      <c r="O85" s="27" t="s">
        <v>33</v>
      </c>
      <c r="P85" s="26">
        <v>80000</v>
      </c>
      <c r="Q85" s="2"/>
      <c r="R85" s="17">
        <v>1409341</v>
      </c>
      <c r="S85" s="18" t="s">
        <v>195</v>
      </c>
      <c r="T85" s="23">
        <v>46252.708333333001</v>
      </c>
      <c r="U85" s="2"/>
      <c r="V85" s="2"/>
      <c r="W85" s="2"/>
      <c r="X85" s="2"/>
    </row>
    <row r="86" spans="1:24" ht="15" customHeight="1">
      <c r="B86" s="1"/>
      <c r="C86" s="1"/>
      <c r="D86" s="1"/>
      <c r="E86" s="1"/>
      <c r="H86" s="1"/>
      <c r="O86" s="1"/>
    </row>
    <row r="87" spans="1:24" ht="15" customHeight="1">
      <c r="B87" s="1"/>
      <c r="C87" s="1"/>
      <c r="D87" s="1"/>
      <c r="E87" s="1"/>
      <c r="H87" s="1"/>
      <c r="O87" s="1"/>
    </row>
    <row r="88" spans="1:24" ht="15" customHeight="1">
      <c r="B88" s="1"/>
      <c r="C88" s="1"/>
      <c r="D88" s="1"/>
      <c r="E88" s="1"/>
      <c r="H88" s="1"/>
      <c r="O88" s="1"/>
    </row>
    <row r="89" spans="1:24" ht="15" customHeight="1">
      <c r="B89" s="1"/>
      <c r="C89" s="1"/>
      <c r="D89" s="1"/>
      <c r="E89" s="1"/>
      <c r="H89" s="1"/>
      <c r="O89" s="1"/>
    </row>
    <row r="90" spans="1:24" ht="15" customHeight="1">
      <c r="B90" s="1"/>
      <c r="C90" s="1"/>
      <c r="D90" s="1"/>
      <c r="E90" s="1"/>
      <c r="H90" s="1"/>
      <c r="O90" s="1"/>
    </row>
    <row r="91" spans="1:24" ht="15" customHeight="1">
      <c r="B91" s="1"/>
      <c r="C91" s="1"/>
      <c r="D91" s="1"/>
      <c r="E91" s="1"/>
      <c r="H91" s="1"/>
      <c r="O91" s="1"/>
    </row>
    <row r="92" spans="1:24" ht="15" customHeight="1">
      <c r="B92" s="1"/>
      <c r="C92" s="1"/>
      <c r="D92" s="1"/>
      <c r="E92" s="1"/>
      <c r="H92" s="1"/>
      <c r="O92" s="1"/>
    </row>
    <row r="93" spans="1:24" ht="15" customHeight="1">
      <c r="B93" s="1"/>
      <c r="C93" s="1"/>
      <c r="D93" s="1"/>
      <c r="E93" s="1"/>
      <c r="H93" s="1"/>
      <c r="O93" s="1"/>
    </row>
    <row r="94" spans="1:24" ht="15" customHeight="1">
      <c r="B94" s="1"/>
      <c r="C94" s="1"/>
      <c r="D94" s="1"/>
      <c r="E94" s="1"/>
      <c r="H94" s="1"/>
      <c r="O94" s="1"/>
    </row>
    <row r="95" spans="1:24" ht="15" customHeight="1">
      <c r="B95" s="1"/>
      <c r="C95" s="1"/>
      <c r="D95" s="1"/>
      <c r="E95" s="1"/>
      <c r="H95" s="1"/>
      <c r="O95" s="1"/>
    </row>
    <row r="96" spans="1:24" s="1" customFormat="1" ht="15" customHeight="1"/>
    <row r="97" s="1" customFormat="1" ht="15" customHeight="1"/>
    <row r="98" s="1" customFormat="1" ht="15" customHeight="1"/>
    <row r="99" s="1" customFormat="1" ht="15" customHeight="1"/>
    <row r="100" s="1" customFormat="1" ht="15" customHeight="1"/>
  </sheetData>
  <sheetProtection formatCells="0" formatColumns="0" formatRows="0" insertColumns="0" insertRows="0" insertHyperlinks="0" deleteColumns="0" deleteRows="0" sort="0" autoFilter="0" pivotTables="0"/>
  <autoFilter ref="B5:P5" xr:uid="{00000000-0009-0000-0000-000000000000}"/>
  <mergeCells count="7">
    <mergeCell ref="B1:P1"/>
    <mergeCell ref="G2:K2"/>
    <mergeCell ref="O4:P4"/>
    <mergeCell ref="K4:M4"/>
    <mergeCell ref="H4:J4"/>
    <mergeCell ref="E4:G4"/>
    <mergeCell ref="G3:K3"/>
  </mergeCells>
  <phoneticPr fontId="14"/>
  <conditionalFormatting sqref="B22:B9999">
    <cfRule type="expression" dxfId="165" priority="1">
      <formula>T22=""</formula>
    </cfRule>
  </conditionalFormatting>
  <conditionalFormatting sqref="M6">
    <cfRule type="expression" dxfId="164" priority="2">
      <formula>M6="FUKUOKA"</formula>
    </cfRule>
    <cfRule type="expression" dxfId="163" priority="3">
      <formula>M6="YOKOHAMA"</formula>
    </cfRule>
  </conditionalFormatting>
  <conditionalFormatting sqref="M7">
    <cfRule type="expression" dxfId="162" priority="9">
      <formula>M6="FUKUOKA"</formula>
    </cfRule>
    <cfRule type="expression" dxfId="161" priority="10">
      <formula>M6="YOKOHAMA"</formula>
    </cfRule>
  </conditionalFormatting>
  <conditionalFormatting sqref="M8">
    <cfRule type="expression" dxfId="160" priority="12">
      <formula>M6="YOKOHAMA"</formula>
    </cfRule>
    <cfRule type="expression" dxfId="159" priority="11">
      <formula>M6="FUKUOKA"</formula>
    </cfRule>
  </conditionalFormatting>
  <conditionalFormatting sqref="M9">
    <cfRule type="expression" dxfId="158" priority="13">
      <formula>M6="FUKUOKA"</formula>
    </cfRule>
    <cfRule type="expression" dxfId="157" priority="14">
      <formula>M6="YOKOHAMA"</formula>
    </cfRule>
  </conditionalFormatting>
  <conditionalFormatting sqref="M10">
    <cfRule type="expression" dxfId="156" priority="15">
      <formula>M6="FUKUOKA"</formula>
    </cfRule>
    <cfRule type="expression" dxfId="155" priority="16">
      <formula>M6="YOKOHAMA"</formula>
    </cfRule>
  </conditionalFormatting>
  <conditionalFormatting sqref="M11">
    <cfRule type="expression" dxfId="154" priority="18">
      <formula>M6="YOKOHAMA"</formula>
    </cfRule>
    <cfRule type="expression" dxfId="153" priority="17">
      <formula>M6="FUKUOKA"</formula>
    </cfRule>
  </conditionalFormatting>
  <conditionalFormatting sqref="M12">
    <cfRule type="expression" dxfId="152" priority="19">
      <formula>M6="FUKUOKA"</formula>
    </cfRule>
    <cfRule type="expression" dxfId="151" priority="20">
      <formula>M6="YOKOHAMA"</formula>
    </cfRule>
  </conditionalFormatting>
  <conditionalFormatting sqref="M13">
    <cfRule type="expression" dxfId="150" priority="21">
      <formula>M6="FUKUOKA"</formula>
    </cfRule>
    <cfRule type="expression" dxfId="149" priority="22">
      <formula>M6="YOKOHAMA"</formula>
    </cfRule>
  </conditionalFormatting>
  <conditionalFormatting sqref="M14">
    <cfRule type="expression" dxfId="148" priority="23">
      <formula>M6="FUKUOKA"</formula>
    </cfRule>
    <cfRule type="expression" dxfId="147" priority="24">
      <formula>M6="YOKOHAMA"</formula>
    </cfRule>
  </conditionalFormatting>
  <conditionalFormatting sqref="M15">
    <cfRule type="expression" dxfId="146" priority="25">
      <formula>M6="FUKUOKA"</formula>
    </cfRule>
    <cfRule type="expression" dxfId="145" priority="26">
      <formula>M6="YOKOHAMA"</formula>
    </cfRule>
  </conditionalFormatting>
  <conditionalFormatting sqref="M16">
    <cfRule type="expression" dxfId="144" priority="27">
      <formula>M6="FUKUOKA"</formula>
    </cfRule>
    <cfRule type="expression" dxfId="143" priority="28">
      <formula>M6="YOKOHAMA"</formula>
    </cfRule>
  </conditionalFormatting>
  <conditionalFormatting sqref="M17">
    <cfRule type="expression" dxfId="142" priority="29">
      <formula>M6="FUKUOKA"</formula>
    </cfRule>
    <cfRule type="expression" dxfId="141" priority="30">
      <formula>M6="YOKOHAMA"</formula>
    </cfRule>
  </conditionalFormatting>
  <conditionalFormatting sqref="M18">
    <cfRule type="expression" dxfId="140" priority="31">
      <formula>M6="FUKUOKA"</formula>
    </cfRule>
    <cfRule type="expression" dxfId="139" priority="32">
      <formula>M6="YOKOHAMA"</formula>
    </cfRule>
  </conditionalFormatting>
  <conditionalFormatting sqref="M19">
    <cfRule type="expression" dxfId="138" priority="34">
      <formula>M6="YOKOHAMA"</formula>
    </cfRule>
    <cfRule type="expression" dxfId="137" priority="33">
      <formula>M6="FUKUOKA"</formula>
    </cfRule>
  </conditionalFormatting>
  <conditionalFormatting sqref="M20">
    <cfRule type="expression" dxfId="136" priority="35">
      <formula>M6="FUKUOKA"</formula>
    </cfRule>
    <cfRule type="expression" dxfId="135" priority="36">
      <formula>M6="YOKOHAMA"</formula>
    </cfRule>
  </conditionalFormatting>
  <conditionalFormatting sqref="M21">
    <cfRule type="expression" dxfId="134" priority="37">
      <formula>M6="FUKUOKA"</formula>
    </cfRule>
    <cfRule type="expression" dxfId="133" priority="38">
      <formula>M6="YOKOHAMA"</formula>
    </cfRule>
  </conditionalFormatting>
  <conditionalFormatting sqref="M22">
    <cfRule type="expression" dxfId="132" priority="40">
      <formula>M6="YOKOHAMA"</formula>
    </cfRule>
    <cfRule type="expression" dxfId="131" priority="39">
      <formula>M6="FUKUOKA"</formula>
    </cfRule>
  </conditionalFormatting>
  <conditionalFormatting sqref="M23">
    <cfRule type="expression" dxfId="130" priority="41">
      <formula>M6="FUKUOKA"</formula>
    </cfRule>
    <cfRule type="expression" dxfId="129" priority="42">
      <formula>M6="YOKOHAMA"</formula>
    </cfRule>
  </conditionalFormatting>
  <conditionalFormatting sqref="M24">
    <cfRule type="expression" dxfId="128" priority="43">
      <formula>M6="FUKUOKA"</formula>
    </cfRule>
    <cfRule type="expression" dxfId="127" priority="44">
      <formula>M6="YOKOHAMA"</formula>
    </cfRule>
  </conditionalFormatting>
  <conditionalFormatting sqref="M25">
    <cfRule type="expression" dxfId="126" priority="46">
      <formula>M6="YOKOHAMA"</formula>
    </cfRule>
    <cfRule type="expression" dxfId="125" priority="45">
      <formula>M6="FUKUOKA"</formula>
    </cfRule>
  </conditionalFormatting>
  <conditionalFormatting sqref="M26">
    <cfRule type="expression" dxfId="124" priority="47">
      <formula>M6="FUKUOKA"</formula>
    </cfRule>
    <cfRule type="expression" dxfId="123" priority="48">
      <formula>M6="YOKOHAMA"</formula>
    </cfRule>
  </conditionalFormatting>
  <conditionalFormatting sqref="M27">
    <cfRule type="expression" dxfId="122" priority="49">
      <formula>M6="FUKUOKA"</formula>
    </cfRule>
    <cfRule type="expression" dxfId="121" priority="50">
      <formula>M6="YOKOHAMA"</formula>
    </cfRule>
  </conditionalFormatting>
  <conditionalFormatting sqref="M28">
    <cfRule type="expression" dxfId="120" priority="52">
      <formula>M6="YOKOHAMA"</formula>
    </cfRule>
    <cfRule type="expression" dxfId="119" priority="51">
      <formula>M6="FUKUOKA"</formula>
    </cfRule>
  </conditionalFormatting>
  <conditionalFormatting sqref="M29">
    <cfRule type="expression" dxfId="118" priority="53">
      <formula>M6="FUKUOKA"</formula>
    </cfRule>
    <cfRule type="expression" dxfId="117" priority="54">
      <formula>M6="YOKOHAMA"</formula>
    </cfRule>
  </conditionalFormatting>
  <conditionalFormatting sqref="M30">
    <cfRule type="expression" dxfId="116" priority="55">
      <formula>M6="FUKUOKA"</formula>
    </cfRule>
    <cfRule type="expression" dxfId="115" priority="56">
      <formula>M6="YOKOHAMA"</formula>
    </cfRule>
  </conditionalFormatting>
  <conditionalFormatting sqref="M31">
    <cfRule type="expression" dxfId="114" priority="58">
      <formula>M6="YOKOHAMA"</formula>
    </cfRule>
    <cfRule type="expression" dxfId="113" priority="57">
      <formula>M6="FUKUOKA"</formula>
    </cfRule>
  </conditionalFormatting>
  <conditionalFormatting sqref="M32">
    <cfRule type="expression" dxfId="112" priority="59">
      <formula>M6="FUKUOKA"</formula>
    </cfRule>
    <cfRule type="expression" dxfId="111" priority="60">
      <formula>M6="YOKOHAMA"</formula>
    </cfRule>
  </conditionalFormatting>
  <conditionalFormatting sqref="M33">
    <cfRule type="expression" dxfId="110" priority="61">
      <formula>M6="FUKUOKA"</formula>
    </cfRule>
    <cfRule type="expression" dxfId="109" priority="62">
      <formula>M6="YOKOHAMA"</formula>
    </cfRule>
  </conditionalFormatting>
  <conditionalFormatting sqref="M34">
    <cfRule type="expression" dxfId="108" priority="63">
      <formula>M6="FUKUOKA"</formula>
    </cfRule>
    <cfRule type="expression" dxfId="107" priority="64">
      <formula>M6="YOKOHAMA"</formula>
    </cfRule>
  </conditionalFormatting>
  <conditionalFormatting sqref="M35">
    <cfRule type="expression" dxfId="106" priority="65">
      <formula>M6="FUKUOKA"</formula>
    </cfRule>
    <cfRule type="expression" dxfId="105" priority="66">
      <formula>M6="YOKOHAMA"</formula>
    </cfRule>
  </conditionalFormatting>
  <conditionalFormatting sqref="M36">
    <cfRule type="expression" dxfId="104" priority="67">
      <formula>M6="FUKUOKA"</formula>
    </cfRule>
    <cfRule type="expression" dxfId="103" priority="68">
      <formula>M6="YOKOHAMA"</formula>
    </cfRule>
  </conditionalFormatting>
  <conditionalFormatting sqref="M37">
    <cfRule type="expression" dxfId="102" priority="69">
      <formula>M6="FUKUOKA"</formula>
    </cfRule>
    <cfRule type="expression" dxfId="101" priority="70">
      <formula>M6="YOKOHAMA"</formula>
    </cfRule>
  </conditionalFormatting>
  <conditionalFormatting sqref="M38">
    <cfRule type="expression" dxfId="100" priority="71">
      <formula>M6="FUKUOKA"</formula>
    </cfRule>
    <cfRule type="expression" dxfId="99" priority="72">
      <formula>M6="YOKOHAMA"</formula>
    </cfRule>
  </conditionalFormatting>
  <conditionalFormatting sqref="M39">
    <cfRule type="expression" dxfId="98" priority="73">
      <formula>M6="FUKUOKA"</formula>
    </cfRule>
    <cfRule type="expression" dxfId="97" priority="74">
      <formula>M6="YOKOHAMA"</formula>
    </cfRule>
  </conditionalFormatting>
  <conditionalFormatting sqref="M40">
    <cfRule type="expression" dxfId="96" priority="75">
      <formula>M6="FUKUOKA"</formula>
    </cfRule>
    <cfRule type="expression" dxfId="95" priority="76">
      <formula>M6="YOKOHAMA"</formula>
    </cfRule>
  </conditionalFormatting>
  <conditionalFormatting sqref="M41">
    <cfRule type="expression" dxfId="94" priority="78">
      <formula>M6="YOKOHAMA"</formula>
    </cfRule>
    <cfRule type="expression" dxfId="93" priority="77">
      <formula>M6="FUKUOKA"</formula>
    </cfRule>
  </conditionalFormatting>
  <conditionalFormatting sqref="M42">
    <cfRule type="expression" dxfId="92" priority="79">
      <formula>M6="FUKUOKA"</formula>
    </cfRule>
    <cfRule type="expression" dxfId="91" priority="80">
      <formula>M6="YOKOHAMA"</formula>
    </cfRule>
  </conditionalFormatting>
  <conditionalFormatting sqref="M43">
    <cfRule type="expression" dxfId="90" priority="81">
      <formula>M6="FUKUOKA"</formula>
    </cfRule>
    <cfRule type="expression" dxfId="89" priority="82">
      <formula>M6="YOKOHAMA"</formula>
    </cfRule>
  </conditionalFormatting>
  <conditionalFormatting sqref="M44">
    <cfRule type="expression" dxfId="88" priority="84">
      <formula>M6="YOKOHAMA"</formula>
    </cfRule>
    <cfRule type="expression" dxfId="87" priority="83">
      <formula>M6="FUKUOKA"</formula>
    </cfRule>
  </conditionalFormatting>
  <conditionalFormatting sqref="M45">
    <cfRule type="expression" dxfId="86" priority="85">
      <formula>M6="FUKUOKA"</formula>
    </cfRule>
    <cfRule type="expression" dxfId="85" priority="86">
      <formula>M6="YOKOHAMA"</formula>
    </cfRule>
  </conditionalFormatting>
  <conditionalFormatting sqref="M46">
    <cfRule type="expression" dxfId="84" priority="87">
      <formula>M6="FUKUOKA"</formula>
    </cfRule>
    <cfRule type="expression" dxfId="83" priority="88">
      <formula>M6="YOKOHAMA"</formula>
    </cfRule>
  </conditionalFormatting>
  <conditionalFormatting sqref="M47">
    <cfRule type="expression" dxfId="82" priority="90">
      <formula>M6="YOKOHAMA"</formula>
    </cfRule>
    <cfRule type="expression" dxfId="81" priority="89">
      <formula>M6="FUKUOKA"</formula>
    </cfRule>
  </conditionalFormatting>
  <conditionalFormatting sqref="M48">
    <cfRule type="expression" dxfId="80" priority="91">
      <formula>M6="FUKUOKA"</formula>
    </cfRule>
    <cfRule type="expression" dxfId="79" priority="92">
      <formula>M6="YOKOHAMA"</formula>
    </cfRule>
  </conditionalFormatting>
  <conditionalFormatting sqref="M49">
    <cfRule type="expression" dxfId="78" priority="94">
      <formula>M6="YOKOHAMA"</formula>
    </cfRule>
    <cfRule type="expression" dxfId="77" priority="93">
      <formula>M6="FUKUOKA"</formula>
    </cfRule>
  </conditionalFormatting>
  <conditionalFormatting sqref="M50">
    <cfRule type="expression" dxfId="76" priority="95">
      <formula>M6="FUKUOKA"</formula>
    </cfRule>
    <cfRule type="expression" dxfId="75" priority="96">
      <formula>M6="YOKOHAMA"</formula>
    </cfRule>
  </conditionalFormatting>
  <conditionalFormatting sqref="M51">
    <cfRule type="expression" dxfId="74" priority="97">
      <formula>M6="FUKUOKA"</formula>
    </cfRule>
    <cfRule type="expression" dxfId="73" priority="98">
      <formula>M6="YOKOHAMA"</formula>
    </cfRule>
  </conditionalFormatting>
  <conditionalFormatting sqref="M52">
    <cfRule type="expression" dxfId="72" priority="100">
      <formula>M6="YOKOHAMA"</formula>
    </cfRule>
    <cfRule type="expression" dxfId="71" priority="99">
      <formula>M6="FUKUOKA"</formula>
    </cfRule>
  </conditionalFormatting>
  <conditionalFormatting sqref="M53">
    <cfRule type="expression" dxfId="70" priority="101">
      <formula>M6="FUKUOKA"</formula>
    </cfRule>
    <cfRule type="expression" dxfId="69" priority="102">
      <formula>M6="YOKOHAMA"</formula>
    </cfRule>
  </conditionalFormatting>
  <conditionalFormatting sqref="M54">
    <cfRule type="expression" dxfId="68" priority="103">
      <formula>M6="FUKUOKA"</formula>
    </cfRule>
    <cfRule type="expression" dxfId="67" priority="104">
      <formula>M6="YOKOHAMA"</formula>
    </cfRule>
  </conditionalFormatting>
  <conditionalFormatting sqref="M55">
    <cfRule type="expression" dxfId="66" priority="105">
      <formula>M6="FUKUOKA"</formula>
    </cfRule>
    <cfRule type="expression" dxfId="65" priority="106">
      <formula>M6="YOKOHAMA"</formula>
    </cfRule>
  </conditionalFormatting>
  <conditionalFormatting sqref="M56">
    <cfRule type="expression" dxfId="64" priority="107">
      <formula>M6="FUKUOKA"</formula>
    </cfRule>
    <cfRule type="expression" dxfId="63" priority="108">
      <formula>M6="YOKOHAMA"</formula>
    </cfRule>
  </conditionalFormatting>
  <conditionalFormatting sqref="M57">
    <cfRule type="expression" dxfId="62" priority="109">
      <formula>M6="FUKUOKA"</formula>
    </cfRule>
    <cfRule type="expression" dxfId="61" priority="110">
      <formula>M6="YOKOHAMA"</formula>
    </cfRule>
  </conditionalFormatting>
  <conditionalFormatting sqref="M58">
    <cfRule type="expression" dxfId="60" priority="111">
      <formula>M6="FUKUOKA"</formula>
    </cfRule>
    <cfRule type="expression" dxfId="59" priority="112">
      <formula>M6="YOKOHAMA"</formula>
    </cfRule>
  </conditionalFormatting>
  <conditionalFormatting sqref="M59">
    <cfRule type="expression" dxfId="58" priority="113">
      <formula>M6="FUKUOKA"</formula>
    </cfRule>
    <cfRule type="expression" dxfId="57" priority="114">
      <formula>M6="YOKOHAMA"</formula>
    </cfRule>
  </conditionalFormatting>
  <conditionalFormatting sqref="M60">
    <cfRule type="expression" dxfId="56" priority="115">
      <formula>M6="FUKUOKA"</formula>
    </cfRule>
    <cfRule type="expression" dxfId="55" priority="116">
      <formula>M6="YOKOHAMA"</formula>
    </cfRule>
  </conditionalFormatting>
  <conditionalFormatting sqref="M61">
    <cfRule type="expression" dxfId="54" priority="118">
      <formula>M6="YOKOHAMA"</formula>
    </cfRule>
    <cfRule type="expression" dxfId="53" priority="117">
      <formula>M6="FUKUOKA"</formula>
    </cfRule>
  </conditionalFormatting>
  <conditionalFormatting sqref="M62">
    <cfRule type="expression" dxfId="52" priority="119">
      <formula>M6="FUKUOKA"</formula>
    </cfRule>
    <cfRule type="expression" dxfId="51" priority="120">
      <formula>M6="YOKOHAMA"</formula>
    </cfRule>
  </conditionalFormatting>
  <conditionalFormatting sqref="M63">
    <cfRule type="expression" dxfId="50" priority="121">
      <formula>M6="FUKUOKA"</formula>
    </cfRule>
    <cfRule type="expression" dxfId="49" priority="122">
      <formula>M6="YOKOHAMA"</formula>
    </cfRule>
  </conditionalFormatting>
  <conditionalFormatting sqref="M64">
    <cfRule type="expression" dxfId="48" priority="124">
      <formula>M6="YOKOHAMA"</formula>
    </cfRule>
    <cfRule type="expression" dxfId="47" priority="123">
      <formula>M6="FUKUOKA"</formula>
    </cfRule>
  </conditionalFormatting>
  <conditionalFormatting sqref="M65">
    <cfRule type="expression" dxfId="46" priority="125">
      <formula>M6="FUKUOKA"</formula>
    </cfRule>
    <cfRule type="expression" dxfId="45" priority="126">
      <formula>M6="YOKOHAMA"</formula>
    </cfRule>
  </conditionalFormatting>
  <conditionalFormatting sqref="M66">
    <cfRule type="expression" dxfId="44" priority="127">
      <formula>M6="FUKUOKA"</formula>
    </cfRule>
    <cfRule type="expression" dxfId="43" priority="128">
      <formula>M6="YOKOHAMA"</formula>
    </cfRule>
  </conditionalFormatting>
  <conditionalFormatting sqref="M67">
    <cfRule type="expression" dxfId="42" priority="130">
      <formula>M6="YOKOHAMA"</formula>
    </cfRule>
    <cfRule type="expression" dxfId="41" priority="129">
      <formula>M6="FUKUOKA"</formula>
    </cfRule>
  </conditionalFormatting>
  <conditionalFormatting sqref="M68">
    <cfRule type="expression" dxfId="40" priority="131">
      <formula>M6="FUKUOKA"</formula>
    </cfRule>
    <cfRule type="expression" dxfId="39" priority="132">
      <formula>M6="YOKOHAMA"</formula>
    </cfRule>
  </conditionalFormatting>
  <conditionalFormatting sqref="M69">
    <cfRule type="expression" dxfId="38" priority="133">
      <formula>M6="FUKUOKA"</formula>
    </cfRule>
    <cfRule type="expression" dxfId="37" priority="134">
      <formula>M6="YOKOHAMA"</formula>
    </cfRule>
  </conditionalFormatting>
  <conditionalFormatting sqref="M70">
    <cfRule type="expression" dxfId="36" priority="135">
      <formula>M6="FUKUOKA"</formula>
    </cfRule>
    <cfRule type="expression" dxfId="35" priority="136">
      <formula>M6="YOKOHAMA"</formula>
    </cfRule>
  </conditionalFormatting>
  <conditionalFormatting sqref="M71">
    <cfRule type="expression" dxfId="34" priority="138">
      <formula>M6="YOKOHAMA"</formula>
    </cfRule>
    <cfRule type="expression" dxfId="33" priority="137">
      <formula>M6="FUKUOKA"</formula>
    </cfRule>
  </conditionalFormatting>
  <conditionalFormatting sqref="M72">
    <cfRule type="expression" dxfId="32" priority="139">
      <formula>M6="FUKUOKA"</formula>
    </cfRule>
    <cfRule type="expression" dxfId="31" priority="140">
      <formula>M6="YOKOHAMA"</formula>
    </cfRule>
  </conditionalFormatting>
  <conditionalFormatting sqref="M73">
    <cfRule type="expression" dxfId="30" priority="141">
      <formula>M6="FUKUOKA"</formula>
    </cfRule>
    <cfRule type="expression" dxfId="29" priority="142">
      <formula>M6="YOKOHAMA"</formula>
    </cfRule>
  </conditionalFormatting>
  <conditionalFormatting sqref="M74">
    <cfRule type="expression" dxfId="28" priority="144">
      <formula>M6="YOKOHAMA"</formula>
    </cfRule>
    <cfRule type="expression" dxfId="27" priority="143">
      <formula>M6="FUKUOKA"</formula>
    </cfRule>
  </conditionalFormatting>
  <conditionalFormatting sqref="M75">
    <cfRule type="expression" dxfId="26" priority="145">
      <formula>M6="FUKUOKA"</formula>
    </cfRule>
    <cfRule type="expression" dxfId="25" priority="146">
      <formula>M6="YOKOHAMA"</formula>
    </cfRule>
  </conditionalFormatting>
  <conditionalFormatting sqref="M76">
    <cfRule type="expression" dxfId="24" priority="147">
      <formula>M6="FUKUOKA"</formula>
    </cfRule>
    <cfRule type="expression" dxfId="23" priority="148">
      <formula>M6="YOKOHAMA"</formula>
    </cfRule>
  </conditionalFormatting>
  <conditionalFormatting sqref="M77">
    <cfRule type="expression" dxfId="22" priority="149">
      <formula>M6="FUKUOKA"</formula>
    </cfRule>
    <cfRule type="expression" dxfId="21" priority="150">
      <formula>M6="YOKOHAMA"</formula>
    </cfRule>
  </conditionalFormatting>
  <conditionalFormatting sqref="M78">
    <cfRule type="expression" dxfId="20" priority="151">
      <formula>M6="FUKUOKA"</formula>
    </cfRule>
    <cfRule type="expression" dxfId="19" priority="152">
      <formula>M6="YOKOHAMA"</formula>
    </cfRule>
  </conditionalFormatting>
  <conditionalFormatting sqref="M79">
    <cfRule type="expression" dxfId="18" priority="153">
      <formula>M6="FUKUOKA"</formula>
    </cfRule>
    <cfRule type="expression" dxfId="17" priority="154">
      <formula>M6="YOKOHAMA"</formula>
    </cfRule>
  </conditionalFormatting>
  <conditionalFormatting sqref="M80">
    <cfRule type="expression" dxfId="16" priority="155">
      <formula>M6="FUKUOKA"</formula>
    </cfRule>
    <cfRule type="expression" dxfId="15" priority="156">
      <formula>M6="YOKOHAMA"</formula>
    </cfRule>
  </conditionalFormatting>
  <conditionalFormatting sqref="M81">
    <cfRule type="expression" dxfId="14" priority="157">
      <formula>M6="FUKUOKA"</formula>
    </cfRule>
    <cfRule type="expression" dxfId="13" priority="158">
      <formula>M6="YOKOHAMA"</formula>
    </cfRule>
  </conditionalFormatting>
  <conditionalFormatting sqref="M82">
    <cfRule type="expression" dxfId="12" priority="159">
      <formula>M6="FUKUOKA"</formula>
    </cfRule>
    <cfRule type="expression" dxfId="11" priority="160">
      <formula>M6="YOKOHAMA"</formula>
    </cfRule>
  </conditionalFormatting>
  <conditionalFormatting sqref="M83">
    <cfRule type="expression" dxfId="10" priority="161">
      <formula>M6="FUKUOKA"</formula>
    </cfRule>
    <cfRule type="expression" dxfId="9" priority="162">
      <formula>M6="YOKOHAMA"</formula>
    </cfRule>
  </conditionalFormatting>
  <conditionalFormatting sqref="M84">
    <cfRule type="expression" dxfId="8" priority="163">
      <formula>M6="FUKUOKA"</formula>
    </cfRule>
    <cfRule type="expression" dxfId="7" priority="164">
      <formula>M6="YOKOHAMA"</formula>
    </cfRule>
  </conditionalFormatting>
  <conditionalFormatting sqref="M85">
    <cfRule type="expression" dxfId="6" priority="165">
      <formula>M6="FUKUOKA"</formula>
    </cfRule>
    <cfRule type="expression" dxfId="5" priority="166">
      <formula>M6="YOKOHAMA"</formula>
    </cfRule>
  </conditionalFormatting>
  <conditionalFormatting sqref="N22:N1048576">
    <cfRule type="expression" dxfId="4" priority="4">
      <formula>M6="FUKUOKA"</formula>
    </cfRule>
    <cfRule type="expression" dxfId="3" priority="5">
      <formula>M6="YOKOHAMA"</formula>
    </cfRule>
  </conditionalFormatting>
  <conditionalFormatting sqref="O1:O1048576">
    <cfRule type="expression" dxfId="2" priority="6">
      <formula>O1="TOKYO"</formula>
    </cfRule>
    <cfRule type="expression" dxfId="1" priority="7">
      <formula>O1="OSAKA"</formula>
    </cfRule>
    <cfRule type="expression" dxfId="0" priority="8">
      <formula>O1="FUKUOKA"</formula>
    </cfRule>
  </conditionalFormatting>
  <hyperlinks>
    <hyperlink ref="G2" r:id="rId1" xr:uid="{00000000-0004-0000-0000-000000000000}"/>
  </hyperlinks>
  <pageMargins left="0.19685039370078999" right="0.19685039370078999" top="0.19685039370078999" bottom="0.31496062992126" header="0.31496062992126" footer="0.51181102362205"/>
  <pageSetup paperSize="9" scale="35" fitToHeight="4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4</vt:i4>
      </vt:variant>
    </vt:vector>
  </HeadingPairs>
  <TitlesOfParts>
    <vt:vector size="5" baseType="lpstr">
      <vt:lpstr>TENDER</vt:lpstr>
      <vt:lpstr>TENDER!Print_Area</vt:lpstr>
      <vt:lpstr>TENDER!Print_Titles</vt:lpstr>
      <vt:lpstr>TENDER!Z_9490BEDE_FA73_4124_B4F4_1D581BAC7B7D_.wvu.FilterData</vt:lpstr>
      <vt:lpstr>TENDER!Z_9490BEDE_FA73_4124_B4F4_1D581BAC7B7D_.wvu.PrintArea</vt:lpstr>
    </vt:vector>
  </TitlesOfParts>
  <Manager/>
  <Company>株式会社タウ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海外販売　劉博</dc:creator>
  <cp:keywords/>
  <dc:description/>
  <cp:lastModifiedBy>権　旭</cp:lastModifiedBy>
  <dcterms:created xsi:type="dcterms:W3CDTF">2017-12-12T00:26:39Z</dcterms:created>
  <dcterms:modified xsi:type="dcterms:W3CDTF">2026-08-07T09:54:02Z</dcterms:modified>
  <cp:category/>
</cp:coreProperties>
</file>